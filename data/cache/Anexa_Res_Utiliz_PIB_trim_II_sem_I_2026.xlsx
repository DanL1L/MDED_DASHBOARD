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ociug\Desktop\Comunicate\PIB\"/>
    </mc:Choice>
  </mc:AlternateContent>
  <xr:revisionPtr revIDLastSave="0" documentId="13_ncr:1_{6E654A3A-03D7-484A-A788-CA6CDBAB1DFC}" xr6:coauthVersionLast="47" xr6:coauthVersionMax="47" xr10:uidLastSave="{00000000-0000-0000-0000-000000000000}"/>
  <bookViews>
    <workbookView xWindow="-120" yWindow="-120" windowWidth="29040" windowHeight="15720" tabRatio="794" xr2:uid="{61FC59D4-F7D6-40DA-BC62-A2E8483C21DE}"/>
  </bookViews>
  <sheets>
    <sheet name="A1.PIB" sheetId="14" r:id="rId1"/>
    <sheet name="A2.VP" sheetId="10" r:id="rId2"/>
    <sheet name="A3.CI" sheetId="11" r:id="rId3"/>
    <sheet name="A4.PIB-Isem-26" sheetId="15" r:id="rId4"/>
  </sheets>
  <definedNames>
    <definedName name="_a1" localSheetId="0" hidden="1">{#N/A,#N/A,FALSE,"Отчет о финансовых результатах"}</definedName>
    <definedName name="_a1" localSheetId="1" hidden="1">{#N/A,#N/A,FALSE,"Отчет о финансовых результатах"}</definedName>
    <definedName name="_a1" localSheetId="2" hidden="1">{#N/A,#N/A,FALSE,"Отчет о финансовых результатах"}</definedName>
    <definedName name="_a1" localSheetId="3" hidden="1">{#N/A,#N/A,FALSE,"Отчет о финансовых результатах"}</definedName>
    <definedName name="_a1" hidden="1">{#N/A,#N/A,FALSE,"Отчет о финансовых результатах"}</definedName>
    <definedName name="_gg1" localSheetId="0" hidden="1">{#N/A,#N/A,FALSE,"Отчет о финансовых результатах"}</definedName>
    <definedName name="_gg1" localSheetId="1" hidden="1">{#N/A,#N/A,FALSE,"Отчет о финансовых результатах"}</definedName>
    <definedName name="_gg1" localSheetId="2" hidden="1">{#N/A,#N/A,FALSE,"Отчет о финансовых результатах"}</definedName>
    <definedName name="_gg1" localSheetId="3" hidden="1">{#N/A,#N/A,FALSE,"Отчет о финансовых результатах"}</definedName>
    <definedName name="_gg1" hidden="1">{#N/A,#N/A,FALSE,"Отчет о финансовых результатах"}</definedName>
    <definedName name="dfgjjjjjjjjjjjjjjjjjjjjjjjjj" localSheetId="0" hidden="1">{#N/A,#N/A,FALSE,"Отчет о финансовых результатах"}</definedName>
    <definedName name="dfgjjjjjjjjjjjjjjjjjjjjjjjjj" localSheetId="1" hidden="1">{#N/A,#N/A,FALSE,"Отчет о финансовых результатах"}</definedName>
    <definedName name="dfgjjjjjjjjjjjjjjjjjjjjjjjjj" localSheetId="2" hidden="1">{#N/A,#N/A,FALSE,"Отчет о финансовых результатах"}</definedName>
    <definedName name="dfgjjjjjjjjjjjjjjjjjjjjjjjjj" localSheetId="3" hidden="1">{#N/A,#N/A,FALSE,"Отчет о финансовых результатах"}</definedName>
    <definedName name="dfgjjjjjjjjjjjjjjjjjjjjjjjjj" hidden="1">{#N/A,#N/A,FALSE,"Отчет о финансовых результатах"}</definedName>
    <definedName name="p" localSheetId="0" hidden="1">{#N/A,#N/A,FALSE,"Отчет о финансовых результатах"}</definedName>
    <definedName name="p" localSheetId="1" hidden="1">{#N/A,#N/A,FALSE,"Отчет о финансовых результатах"}</definedName>
    <definedName name="p" localSheetId="2" hidden="1">{#N/A,#N/A,FALSE,"Отчет о финансовых результатах"}</definedName>
    <definedName name="p" localSheetId="3" hidden="1">{#N/A,#N/A,FALSE,"Отчет о финансовых результатах"}</definedName>
    <definedName name="p" hidden="1">{#N/A,#N/A,FALSE,"Отчет о финансовых результатах"}</definedName>
    <definedName name="_xlnm.Print_Area" localSheetId="0">'A1.PIB'!$A:$H</definedName>
    <definedName name="_xlnm.Print_Area" localSheetId="1">'A2.VP'!$A:$F</definedName>
    <definedName name="_xlnm.Print_Area" localSheetId="2">'A3.CI'!$A:$F</definedName>
    <definedName name="_xlnm.Print_Area" localSheetId="3">'A4.PIB-Isem-26'!$A$1:$I$59</definedName>
    <definedName name="qq" localSheetId="0" hidden="1">{#N/A,#N/A,FALSE,"Отчет о финансовых результатах"}</definedName>
    <definedName name="qq" localSheetId="1" hidden="1">{#N/A,#N/A,FALSE,"Отчет о финансовых результатах"}</definedName>
    <definedName name="qq" localSheetId="2" hidden="1">{#N/A,#N/A,FALSE,"Отчет о финансовых результатах"}</definedName>
    <definedName name="qq" localSheetId="3" hidden="1">{#N/A,#N/A,FALSE,"Отчет о финансовых результатах"}</definedName>
    <definedName name="qq" hidden="1">{#N/A,#N/A,FALSE,"Отчет о финансовых результатах"}</definedName>
    <definedName name="rtrtryyyyyyyyyyyyyyyyyyyyyyy" localSheetId="0" hidden="1">{#N/A,#N/A,FALSE,"Отчет о финансовых результатах"}</definedName>
    <definedName name="rtrtryyyyyyyyyyyyyyyyyyyyyyy" localSheetId="1" hidden="1">{#N/A,#N/A,FALSE,"Отчет о финансовых результатах"}</definedName>
    <definedName name="rtrtryyyyyyyyyyyyyyyyyyyyyyy" localSheetId="2" hidden="1">{#N/A,#N/A,FALSE,"Отчет о финансовых результатах"}</definedName>
    <definedName name="rtrtryyyyyyyyyyyyyyyyyyyyyyy" localSheetId="3" hidden="1">{#N/A,#N/A,FALSE,"Отчет о финансовых результатах"}</definedName>
    <definedName name="rtrtryyyyyyyyyyyyyyyyyyyyyyy" hidden="1">{#N/A,#N/A,FALSE,"Отчет о финансовых результатах"}</definedName>
    <definedName name="ssssssssssssssssssss" localSheetId="0" hidden="1">{#N/A,#N/A,FALSE,"Отчет о финансовых результатах"}</definedName>
    <definedName name="ssssssssssssssssssss" localSheetId="1" hidden="1">{#N/A,#N/A,FALSE,"Отчет о финансовых результатах"}</definedName>
    <definedName name="ssssssssssssssssssss" localSheetId="2" hidden="1">{#N/A,#N/A,FALSE,"Отчет о финансовых результатах"}</definedName>
    <definedName name="ssssssssssssssssssss" localSheetId="3" hidden="1">{#N/A,#N/A,FALSE,"Отчет о финансовых результатах"}</definedName>
    <definedName name="ssssssssssssssssssss" hidden="1">{#N/A,#N/A,FALSE,"Отчет о финансовых результатах"}</definedName>
    <definedName name="wrn.ффф." localSheetId="0" hidden="1">{#N/A,#N/A,FALSE,"Отчет о финансовых результатах"}</definedName>
    <definedName name="wrn.ффф." localSheetId="1" hidden="1">{#N/A,#N/A,FALSE,"Отчет о финансовых результатах"}</definedName>
    <definedName name="wrn.ффф." localSheetId="2" hidden="1">{#N/A,#N/A,FALSE,"Отчет о финансовых результатах"}</definedName>
    <definedName name="wrn.ффф." localSheetId="3" hidden="1">{#N/A,#N/A,FALSE,"Отчет о финансовых результатах"}</definedName>
    <definedName name="wrn.ффф." hidden="1">{#N/A,#N/A,FALSE,"Отчет о финансовых результатах"}</definedName>
    <definedName name="а" localSheetId="0" hidden="1">{#N/A,#N/A,FALSE,"Отчет о финансовых результатах"}</definedName>
    <definedName name="а" localSheetId="1" hidden="1">{#N/A,#N/A,FALSE,"Отчет о финансовых результатах"}</definedName>
    <definedName name="а" localSheetId="2" hidden="1">{#N/A,#N/A,FALSE,"Отчет о финансовых результатах"}</definedName>
    <definedName name="а" localSheetId="3" hidden="1">{#N/A,#N/A,FALSE,"Отчет о финансовых результатах"}</definedName>
    <definedName name="а" hidden="1">{#N/A,#N/A,FALSE,"Отчет о финансовых результатах"}</definedName>
    <definedName name="ан" localSheetId="0" hidden="1">{#N/A,#N/A,FALSE,"Отчет о финансовых результатах"}</definedName>
    <definedName name="ан" localSheetId="1" hidden="1">{#N/A,#N/A,FALSE,"Отчет о финансовых результатах"}</definedName>
    <definedName name="ан" localSheetId="2" hidden="1">{#N/A,#N/A,FALSE,"Отчет о финансовых результатах"}</definedName>
    <definedName name="ан" localSheetId="3" hidden="1">{#N/A,#N/A,FALSE,"Отчет о финансовых результатах"}</definedName>
    <definedName name="ан" hidden="1">{#N/A,#N/A,FALSE,"Отчет о финансовых результатах"}</definedName>
    <definedName name="Ан.прир" localSheetId="0" hidden="1">{#N/A,#N/A,FALSE,"Отчет о финансовых результатах"}</definedName>
    <definedName name="Ан.прир" localSheetId="1" hidden="1">{#N/A,#N/A,FALSE,"Отчет о финансовых результатах"}</definedName>
    <definedName name="Ан.прир" localSheetId="2" hidden="1">{#N/A,#N/A,FALSE,"Отчет о финансовых результатах"}</definedName>
    <definedName name="Ан.прир" localSheetId="3" hidden="1">{#N/A,#N/A,FALSE,"Отчет о финансовых результатах"}</definedName>
    <definedName name="Ан.прир" hidden="1">{#N/A,#N/A,FALSE,"Отчет о финансовых результатах"}</definedName>
    <definedName name="анализ" localSheetId="0" hidden="1">{#N/A,#N/A,FALSE,"Отчет о финансовых результатах"}</definedName>
    <definedName name="анализ" localSheetId="1" hidden="1">{#N/A,#N/A,FALSE,"Отчет о финансовых результатах"}</definedName>
    <definedName name="анализ" localSheetId="2" hidden="1">{#N/A,#N/A,FALSE,"Отчет о финансовых результатах"}</definedName>
    <definedName name="анализ" localSheetId="3" hidden="1">{#N/A,#N/A,FALSE,"Отчет о финансовых результатах"}</definedName>
    <definedName name="анализ" hidden="1">{#N/A,#N/A,FALSE,"Отчет о финансовых результатах"}</definedName>
    <definedName name="аня" localSheetId="0" hidden="1">{#N/A,#N/A,FALSE,"Отчет о финансовых результатах"}</definedName>
    <definedName name="аня" localSheetId="1" hidden="1">{#N/A,#N/A,FALSE,"Отчет о финансовых результатах"}</definedName>
    <definedName name="аня" localSheetId="2" hidden="1">{#N/A,#N/A,FALSE,"Отчет о финансовых результатах"}</definedName>
    <definedName name="аня" localSheetId="3" hidden="1">{#N/A,#N/A,FALSE,"Отчет о финансовых результатах"}</definedName>
    <definedName name="аня" hidden="1">{#N/A,#N/A,FALSE,"Отчет о финансовых результатах"}</definedName>
    <definedName name="аняяя" localSheetId="0" hidden="1">{#N/A,#N/A,FALSE,"Отчет о финансовых результатах"}</definedName>
    <definedName name="аняяя" localSheetId="1" hidden="1">{#N/A,#N/A,FALSE,"Отчет о финансовых результатах"}</definedName>
    <definedName name="аняяя" localSheetId="2" hidden="1">{#N/A,#N/A,FALSE,"Отчет о финансовых результатах"}</definedName>
    <definedName name="аняяя" localSheetId="3" hidden="1">{#N/A,#N/A,FALSE,"Отчет о финансовых результатах"}</definedName>
    <definedName name="аняяя" hidden="1">{#N/A,#N/A,FALSE,"Отчет о финансовых результатах"}</definedName>
    <definedName name="в1" localSheetId="0" hidden="1">{#N/A,#N/A,FALSE,"Отчет о финансовых результатах"}</definedName>
    <definedName name="в1" localSheetId="1" hidden="1">{#N/A,#N/A,FALSE,"Отчет о финансовых результатах"}</definedName>
    <definedName name="в1" localSheetId="2" hidden="1">{#N/A,#N/A,FALSE,"Отчет о финансовых результатах"}</definedName>
    <definedName name="в1" localSheetId="3" hidden="1">{#N/A,#N/A,FALSE,"Отчет о финансовых результатах"}</definedName>
    <definedName name="в1" hidden="1">{#N/A,#N/A,FALSE,"Отчет о финансовых результатах"}</definedName>
    <definedName name="в2" localSheetId="0" hidden="1">{#N/A,#N/A,FALSE,"Отчет о финансовых результатах"}</definedName>
    <definedName name="в2" localSheetId="1" hidden="1">{#N/A,#N/A,FALSE,"Отчет о финансовых результатах"}</definedName>
    <definedName name="в2" localSheetId="2" hidden="1">{#N/A,#N/A,FALSE,"Отчет о финансовых результатах"}</definedName>
    <definedName name="в2" localSheetId="3" hidden="1">{#N/A,#N/A,FALSE,"Отчет о финансовых результатах"}</definedName>
    <definedName name="в2" hidden="1">{#N/A,#N/A,FALSE,"Отчет о финансовых результатах"}</definedName>
    <definedName name="Дин" localSheetId="0" hidden="1">{#N/A,#N/A,FALSE,"Отчет о финансовых результатах"}</definedName>
    <definedName name="Дин" localSheetId="1" hidden="1">{#N/A,#N/A,FALSE,"Отчет о финансовых результатах"}</definedName>
    <definedName name="Дин" localSheetId="2" hidden="1">{#N/A,#N/A,FALSE,"Отчет о финансовых результатах"}</definedName>
    <definedName name="Дин" localSheetId="3" hidden="1">{#N/A,#N/A,FALSE,"Отчет о финансовых результатах"}</definedName>
    <definedName name="Дин" hidden="1">{#N/A,#N/A,FALSE,"Отчет о финансовых результатах"}</definedName>
    <definedName name="Динамика" localSheetId="0" hidden="1">{#N/A,#N/A,FALSE,"Отчет о финансовых результатах"}</definedName>
    <definedName name="Динамика" localSheetId="1" hidden="1">{#N/A,#N/A,FALSE,"Отчет о финансовых результатах"}</definedName>
    <definedName name="Динамика" localSheetId="2" hidden="1">{#N/A,#N/A,FALSE,"Отчет о финансовых результатах"}</definedName>
    <definedName name="Динамика" localSheetId="3" hidden="1">{#N/A,#N/A,FALSE,"Отчет о финансовых результатах"}</definedName>
    <definedName name="Динамика" hidden="1">{#N/A,#N/A,FALSE,"Отчет о финансовых результатах"}</definedName>
    <definedName name="й2" localSheetId="0" hidden="1">{#N/A,#N/A,FALSE,"Отчет о финансовых результатах"}</definedName>
    <definedName name="й2" localSheetId="1" hidden="1">{#N/A,#N/A,FALSE,"Отчет о финансовых результатах"}</definedName>
    <definedName name="й2" localSheetId="2" hidden="1">{#N/A,#N/A,FALSE,"Отчет о финансовых результатах"}</definedName>
    <definedName name="й2" localSheetId="3" hidden="1">{#N/A,#N/A,FALSE,"Отчет о финансовых результатах"}</definedName>
    <definedName name="й2" hidden="1">{#N/A,#N/A,FALSE,"Отчет о финансовых результатах"}</definedName>
    <definedName name="й3" localSheetId="0" hidden="1">{#N/A,#N/A,FALSE,"Отчет о финансовых результатах"}</definedName>
    <definedName name="й3" localSheetId="1" hidden="1">{#N/A,#N/A,FALSE,"Отчет о финансовых результатах"}</definedName>
    <definedName name="й3" localSheetId="2" hidden="1">{#N/A,#N/A,FALSE,"Отчет о финансовых результатах"}</definedName>
    <definedName name="й3" localSheetId="3" hidden="1">{#N/A,#N/A,FALSE,"Отчет о финансовых результатах"}</definedName>
    <definedName name="й3" hidden="1">{#N/A,#N/A,FALSE,"Отчет о финансовых результатах"}</definedName>
    <definedName name="ке" localSheetId="0" hidden="1">{#N/A,#N/A,FALSE,"Отчет о финансовых результатах"}</definedName>
    <definedName name="ке" localSheetId="1" hidden="1">{#N/A,#N/A,FALSE,"Отчет о финансовых результатах"}</definedName>
    <definedName name="ке" localSheetId="2" hidden="1">{#N/A,#N/A,FALSE,"Отчет о финансовых результатах"}</definedName>
    <definedName name="ке" localSheetId="3" hidden="1">{#N/A,#N/A,FALSE,"Отчет о финансовых результатах"}</definedName>
    <definedName name="ке" hidden="1">{#N/A,#N/A,FALSE,"Отчет о финансовых результатах"}</definedName>
    <definedName name="ке1" localSheetId="0" hidden="1">{#N/A,#N/A,FALSE,"Отчет о финансовых результатах"}</definedName>
    <definedName name="ке1" localSheetId="1" hidden="1">{#N/A,#N/A,FALSE,"Отчет о финансовых результатах"}</definedName>
    <definedName name="ке1" localSheetId="2" hidden="1">{#N/A,#N/A,FALSE,"Отчет о финансовых результатах"}</definedName>
    <definedName name="ке1" localSheetId="3" hidden="1">{#N/A,#N/A,FALSE,"Отчет о финансовых результатах"}</definedName>
    <definedName name="ке1" hidden="1">{#N/A,#N/A,FALSE,"Отчет о финансовых результатах"}</definedName>
    <definedName name="люда" localSheetId="0" hidden="1">{#N/A,#N/A,FALSE,"Отчет о финансовых результатах"}</definedName>
    <definedName name="люда" localSheetId="1" hidden="1">{#N/A,#N/A,FALSE,"Отчет о финансовых результатах"}</definedName>
    <definedName name="люда" localSheetId="2" hidden="1">{#N/A,#N/A,FALSE,"Отчет о финансовых результатах"}</definedName>
    <definedName name="люда" localSheetId="3" hidden="1">{#N/A,#N/A,FALSE,"Отчет о финансовых результатах"}</definedName>
    <definedName name="люда" hidden="1">{#N/A,#N/A,FALSE,"Отчет о финансовых результатах"}</definedName>
    <definedName name="ол" localSheetId="0" hidden="1">{#N/A,#N/A,FALSE,"Отчет о финансовых результатах"}</definedName>
    <definedName name="ол" localSheetId="1" hidden="1">{#N/A,#N/A,FALSE,"Отчет о финансовых результатах"}</definedName>
    <definedName name="ол" localSheetId="2" hidden="1">{#N/A,#N/A,FALSE,"Отчет о финансовых результатах"}</definedName>
    <definedName name="ол" localSheetId="3" hidden="1">{#N/A,#N/A,FALSE,"Отчет о финансовых результатах"}</definedName>
    <definedName name="ол" hidden="1">{#N/A,#N/A,FALSE,"Отчет о финансовых результатах"}</definedName>
    <definedName name="отчет" localSheetId="0" hidden="1">{#N/A,#N/A,FALSE,"Отчет о финансовых результатах"}</definedName>
    <definedName name="отчет" localSheetId="1" hidden="1">{#N/A,#N/A,FALSE,"Отчет о финансовых результатах"}</definedName>
    <definedName name="отчет" localSheetId="2" hidden="1">{#N/A,#N/A,FALSE,"Отчет о финансовых результатах"}</definedName>
    <definedName name="отчет" localSheetId="3" hidden="1">{#N/A,#N/A,FALSE,"Отчет о финансовых результатах"}</definedName>
    <definedName name="отчет" hidden="1">{#N/A,#N/A,FALSE,"Отчет о финансовых результатах"}</definedName>
    <definedName name="пред" localSheetId="0" hidden="1">{#N/A,#N/A,FALSE,"Отчет о финансовых результатах"}</definedName>
    <definedName name="пред" localSheetId="1" hidden="1">{#N/A,#N/A,FALSE,"Отчет о финансовых результатах"}</definedName>
    <definedName name="пред" localSheetId="2" hidden="1">{#N/A,#N/A,FALSE,"Отчет о финансовых результатах"}</definedName>
    <definedName name="пред" localSheetId="3" hidden="1">{#N/A,#N/A,FALSE,"Отчет о финансовых результатах"}</definedName>
    <definedName name="пред" hidden="1">{#N/A,#N/A,FALSE,"Отчет о финансовых результатах"}</definedName>
    <definedName name="пред2" localSheetId="0" hidden="1">{#N/A,#N/A,FALSE,"Отчет о финансовых результатах"}</definedName>
    <definedName name="пред2" localSheetId="1" hidden="1">{#N/A,#N/A,FALSE,"Отчет о финансовых результатах"}</definedName>
    <definedName name="пред2" localSheetId="2" hidden="1">{#N/A,#N/A,FALSE,"Отчет о финансовых результатах"}</definedName>
    <definedName name="пред2" localSheetId="3" hidden="1">{#N/A,#N/A,FALSE,"Отчет о финансовых результатах"}</definedName>
    <definedName name="пред2" hidden="1">{#N/A,#N/A,FALSE,"Отчет о финансовых результатах"}</definedName>
    <definedName name="рез" localSheetId="0" hidden="1">{#N/A,#N/A,FALSE,"Отчет о финансовых результатах"}</definedName>
    <definedName name="рез" localSheetId="1" hidden="1">{#N/A,#N/A,FALSE,"Отчет о финансовых результатах"}</definedName>
    <definedName name="рез" localSheetId="2" hidden="1">{#N/A,#N/A,FALSE,"Отчет о финансовых результатах"}</definedName>
    <definedName name="рез" localSheetId="3" hidden="1">{#N/A,#N/A,FALSE,"Отчет о финансовых результатах"}</definedName>
    <definedName name="рез" hidden="1">{#N/A,#N/A,FALSE,"Отчет о финансовых результатах"}</definedName>
    <definedName name="свод" localSheetId="0" hidden="1">{#N/A,#N/A,FALSE,"Отчет о финансовых результатах"}</definedName>
    <definedName name="свод" localSheetId="1" hidden="1">{#N/A,#N/A,FALSE,"Отчет о финансовых результатах"}</definedName>
    <definedName name="свод" localSheetId="2" hidden="1">{#N/A,#N/A,FALSE,"Отчет о финансовых результатах"}</definedName>
    <definedName name="свод" localSheetId="3" hidden="1">{#N/A,#N/A,FALSE,"Отчет о финансовых результатах"}</definedName>
    <definedName name="свод" hidden="1">{#N/A,#N/A,FALSE,"Отчет о финансовых результатах"}</definedName>
    <definedName name="сводпп" localSheetId="0" hidden="1">{#N/A,#N/A,FALSE,"Отчет о финансовых результатах"}</definedName>
    <definedName name="сводпп" localSheetId="1" hidden="1">{#N/A,#N/A,FALSE,"Отчет о финансовых результатах"}</definedName>
    <definedName name="сводпп" localSheetId="2" hidden="1">{#N/A,#N/A,FALSE,"Отчет о финансовых результатах"}</definedName>
    <definedName name="сводпп" localSheetId="3" hidden="1">{#N/A,#N/A,FALSE,"Отчет о финансовых результатах"}</definedName>
    <definedName name="сводпп" hidden="1">{#N/A,#N/A,FALSE,"Отчет о финансовых результатах"}</definedName>
    <definedName name="смпррррррррррррррррррррррррр" localSheetId="0" hidden="1">{#N/A,#N/A,FALSE,"Отчет о финансовых результатах"}</definedName>
    <definedName name="смпррррррррррррррррррррррррр" localSheetId="1" hidden="1">{#N/A,#N/A,FALSE,"Отчет о финансовых результатах"}</definedName>
    <definedName name="смпррррррррррррррррррррррррр" localSheetId="2" hidden="1">{#N/A,#N/A,FALSE,"Отчет о финансовых результатах"}</definedName>
    <definedName name="смпррррррррррррррррррррррррр" localSheetId="3" hidden="1">{#N/A,#N/A,FALSE,"Отчет о финансовых результатах"}</definedName>
    <definedName name="смпррррррррррррррррррррррррр" hidden="1">{#N/A,#N/A,FALSE,"Отчет о финансовых результатах"}</definedName>
    <definedName name="Стоимость" localSheetId="0" hidden="1">{#N/A,#N/A,FALSE,"Отчет о финансовых результатах"}</definedName>
    <definedName name="Стоимость" localSheetId="1" hidden="1">{#N/A,#N/A,FALSE,"Отчет о финансовых результатах"}</definedName>
    <definedName name="Стоимость" localSheetId="2" hidden="1">{#N/A,#N/A,FALSE,"Отчет о финансовых результатах"}</definedName>
    <definedName name="Стоимость" localSheetId="3" hidden="1">{#N/A,#N/A,FALSE,"Отчет о финансовых результатах"}</definedName>
    <definedName name="Стоимость" hidden="1">{#N/A,#N/A,FALSE,"Отчет о финансовых результатах"}</definedName>
    <definedName name="Тамара" localSheetId="0" hidden="1">{#N/A,#N/A,FALSE,"Отчет о финансовых результатах"}</definedName>
    <definedName name="Тамара" localSheetId="1" hidden="1">{#N/A,#N/A,FALSE,"Отчет о финансовых результатах"}</definedName>
    <definedName name="Тамара" localSheetId="2" hidden="1">{#N/A,#N/A,FALSE,"Отчет о финансовых результатах"}</definedName>
    <definedName name="Тамара" localSheetId="3" hidden="1">{#N/A,#N/A,FALSE,"Отчет о финансовых результатах"}</definedName>
    <definedName name="Тамара" hidden="1">{#N/A,#N/A,FALSE,"Отчет о финансовых результатах"}</definedName>
    <definedName name="Тамара2" localSheetId="0" hidden="1">{#N/A,#N/A,FALSE,"Отчет о финансовых результатах"}</definedName>
    <definedName name="Тамара2" localSheetId="1" hidden="1">{#N/A,#N/A,FALSE,"Отчет о финансовых результатах"}</definedName>
    <definedName name="Тамара2" localSheetId="2" hidden="1">{#N/A,#N/A,FALSE,"Отчет о финансовых результатах"}</definedName>
    <definedName name="Тамара2" localSheetId="3" hidden="1">{#N/A,#N/A,FALSE,"Отчет о финансовых результатах"}</definedName>
    <definedName name="Тамара2" hidden="1">{#N/A,#N/A,FALSE,"Отчет о финансовых результатах"}</definedName>
    <definedName name="Ф" localSheetId="0" hidden="1">{#N/A,#N/A,FALSE,0}</definedName>
    <definedName name="Ф" localSheetId="1" hidden="1">{#N/A,#N/A,FALSE,0}</definedName>
    <definedName name="Ф" localSheetId="2" hidden="1">{#N/A,#N/A,FALSE,0}</definedName>
    <definedName name="Ф" localSheetId="3" hidden="1">{#N/A,#N/A,FALSE,0}</definedName>
    <definedName name="Ф" hidden="1">{#N/A,#N/A,FALSE,0}</definedName>
    <definedName name="ф1" localSheetId="0" hidden="1">{#N/A,#N/A,FALSE,"Отчет о финансовых результатах"}</definedName>
    <definedName name="ф1" localSheetId="1" hidden="1">{#N/A,#N/A,FALSE,"Отчет о финансовых результатах"}</definedName>
    <definedName name="ф1" localSheetId="2" hidden="1">{#N/A,#N/A,FALSE,"Отчет о финансовых результатах"}</definedName>
    <definedName name="ф1" localSheetId="3" hidden="1">{#N/A,#N/A,FALSE,"Отчет о финансовых результатах"}</definedName>
    <definedName name="ф1" hidden="1">{#N/A,#N/A,FALSE,"Отчет о финансовых результатах"}</definedName>
    <definedName name="ф2" localSheetId="0" hidden="1">{#N/A,#N/A,FALSE,"Отчет о финансовых результатах"}</definedName>
    <definedName name="ф2" localSheetId="1" hidden="1">{#N/A,#N/A,FALSE,"Отчет о финансовых результатах"}</definedName>
    <definedName name="ф2" localSheetId="2" hidden="1">{#N/A,#N/A,FALSE,"Отчет о финансовых результатах"}</definedName>
    <definedName name="ф2" localSheetId="3" hidden="1">{#N/A,#N/A,FALSE,"Отчет о финансовых результатах"}</definedName>
    <definedName name="ф2" hidden="1">{#N/A,#N/A,FALSE,"Отчет о финансовых результатах"}</definedName>
    <definedName name="ф3" localSheetId="0" hidden="1">{#N/A,#N/A,FALSE,"Отчет о финансовых результатах"}</definedName>
    <definedName name="ф3" localSheetId="1" hidden="1">{#N/A,#N/A,FALSE,"Отчет о финансовых результатах"}</definedName>
    <definedName name="ф3" localSheetId="2" hidden="1">{#N/A,#N/A,FALSE,"Отчет о финансовых результатах"}</definedName>
    <definedName name="ф3" localSheetId="3" hidden="1">{#N/A,#N/A,FALSE,"Отчет о финансовых результатах"}</definedName>
    <definedName name="ф3" hidden="1">{#N/A,#N/A,FALSE,"Отчет о финансовых результатах"}</definedName>
    <definedName name="ц3" localSheetId="0" hidden="1">{#N/A,#N/A,FALSE,"Отчет о финансовых результатах"}</definedName>
    <definedName name="ц3" localSheetId="1" hidden="1">{#N/A,#N/A,FALSE,"Отчет о финансовых результатах"}</definedName>
    <definedName name="ц3" localSheetId="2" hidden="1">{#N/A,#N/A,FALSE,"Отчет о финансовых результатах"}</definedName>
    <definedName name="ц3" localSheetId="3" hidden="1">{#N/A,#N/A,FALSE,"Отчет о финансовых результатах"}</definedName>
    <definedName name="ц3" hidden="1">{#N/A,#N/A,FALSE,"Отчет о финансовых результатах"}</definedName>
    <definedName name="шолт" localSheetId="0" hidden="1">{#N/A,#N/A,FALSE,"Отчет о финансовых результатах"}</definedName>
    <definedName name="шолт" localSheetId="1" hidden="1">{#N/A,#N/A,FALSE,"Отчет о финансовых результатах"}</definedName>
    <definedName name="шолт" localSheetId="2" hidden="1">{#N/A,#N/A,FALSE,"Отчет о финансовых результатах"}</definedName>
    <definedName name="шолт" localSheetId="3" hidden="1">{#N/A,#N/A,FALSE,"Отчет о финансовых результатах"}</definedName>
    <definedName name="шолт" hidden="1">{#N/A,#N/A,FALSE,"Отчет о финансовых результатах"}</definedName>
    <definedName name="щолт" localSheetId="0" hidden="1">{#N/A,#N/A,FALSE,"Отчет о финансовых результатах"}</definedName>
    <definedName name="щолт" localSheetId="1" hidden="1">{#N/A,#N/A,FALSE,"Отчет о финансовых результатах"}</definedName>
    <definedName name="щолт" localSheetId="2" hidden="1">{#N/A,#N/A,FALSE,"Отчет о финансовых результатах"}</definedName>
    <definedName name="щолт" localSheetId="3" hidden="1">{#N/A,#N/A,FALSE,"Отчет о финансовых результатах"}</definedName>
    <definedName name="щолт" hidden="1">{#N/A,#N/A,FALSE,"Отчет о финансовых результатах"}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5" l="1"/>
  <c r="C45" i="15"/>
  <c r="H45" i="14" l="1"/>
  <c r="G51" i="14" l="1"/>
  <c r="G49" i="14" s="1"/>
  <c r="G50" i="14"/>
  <c r="G48" i="14"/>
  <c r="G47" i="14"/>
  <c r="G46" i="14" s="1"/>
  <c r="G45" i="14" s="1"/>
  <c r="G42" i="14"/>
  <c r="G43" i="14"/>
  <c r="G44" i="14"/>
  <c r="G41" i="14"/>
  <c r="G38" i="14"/>
  <c r="G34" i="14"/>
  <c r="G35" i="14"/>
  <c r="G36" i="14"/>
  <c r="G37" i="14"/>
  <c r="G33" i="14"/>
  <c r="G40" i="14" l="1"/>
  <c r="G39" i="14" s="1"/>
  <c r="G32" i="14"/>
  <c r="G31" i="14" s="1"/>
</calcChain>
</file>

<file path=xl/sharedStrings.xml><?xml version="1.0" encoding="utf-8"?>
<sst xmlns="http://schemas.openxmlformats.org/spreadsheetml/2006/main" count="428" uniqueCount="150">
  <si>
    <t>RESURSE / РЕСУРСЫ</t>
  </si>
  <si>
    <t>A</t>
  </si>
  <si>
    <t>Agricultură, silvicultură şi pescuit</t>
  </si>
  <si>
    <t>Сельское, лесное и рыбное хозяйство</t>
  </si>
  <si>
    <t>B</t>
  </si>
  <si>
    <t>Industria extractivă</t>
  </si>
  <si>
    <t>Добыча полезных ископаемых</t>
  </si>
  <si>
    <t>C</t>
  </si>
  <si>
    <t>Industria prelucrătoare</t>
  </si>
  <si>
    <t>Обрабатывающая промышленность</t>
  </si>
  <si>
    <t>D</t>
  </si>
  <si>
    <t>Producţia şi furnizarea de energie electrică şi termică, gaze, apă caldă şi aer condiţionat</t>
  </si>
  <si>
    <t>E</t>
  </si>
  <si>
    <t>Distribuţia apei; salubritate, gestionarea deşeurilor, activităţi de decontaminare</t>
  </si>
  <si>
    <t>Водоснабжение; очистка и обработка отходов и восстановительные работы</t>
  </si>
  <si>
    <t>F</t>
  </si>
  <si>
    <t>Construcţii</t>
  </si>
  <si>
    <t>Строительство</t>
  </si>
  <si>
    <t>G</t>
  </si>
  <si>
    <t>Comerţ cu ridicata şi cu amănuntul; întreţinerea şi repararea autovehiculelor şi a motocicletelor</t>
  </si>
  <si>
    <t>Оптовая и розничная торговля; техническое обслуживание и ремонт автотранспортных средств и мотоциклов</t>
  </si>
  <si>
    <t>H</t>
  </si>
  <si>
    <t>Transport şi depozitare</t>
  </si>
  <si>
    <t>Транспорт и хранение</t>
  </si>
  <si>
    <t>I</t>
  </si>
  <si>
    <t>J</t>
  </si>
  <si>
    <t>Informaţii şi comunicaţii</t>
  </si>
  <si>
    <t>Информационные услуги и связь</t>
  </si>
  <si>
    <t>K</t>
  </si>
  <si>
    <t>L</t>
  </si>
  <si>
    <t>Tranzacţii imobiliare</t>
  </si>
  <si>
    <t>Операции с недвижимым имуществом</t>
  </si>
  <si>
    <t>M</t>
  </si>
  <si>
    <t>Activităţi profesionale, ştiinţifice şi tehnice</t>
  </si>
  <si>
    <t>Профессиональная, научная и техническая деятельность</t>
  </si>
  <si>
    <t>N</t>
  </si>
  <si>
    <t>Activităţi de servicii administrative şi activităţi de servicii suport</t>
  </si>
  <si>
    <t>Административная деятельность и дополнительные услуги в данной области</t>
  </si>
  <si>
    <t>O</t>
  </si>
  <si>
    <t>Administraţie publică şi apărare; asigurări sociale obligatorii</t>
  </si>
  <si>
    <t>Государственное управление и оборона; обязательное социальное страхование</t>
  </si>
  <si>
    <t>P</t>
  </si>
  <si>
    <t>Învăţământ</t>
  </si>
  <si>
    <t>Образование</t>
  </si>
  <si>
    <t>Q</t>
  </si>
  <si>
    <t>Sănătate şi asistenţă socială</t>
  </si>
  <si>
    <t>Здравоохранение и социальные услуги</t>
  </si>
  <si>
    <t>R</t>
  </si>
  <si>
    <t>S</t>
  </si>
  <si>
    <t>Alte activităţi de servicii</t>
  </si>
  <si>
    <t>Предоставление прочих видов услуг</t>
  </si>
  <si>
    <t>T</t>
  </si>
  <si>
    <t>Деятельность домашних хозяйств, нанимающих домашнюю прислугу и производящих товары и услуги для собственного потребления</t>
  </si>
  <si>
    <t>Чистые налоги на продукты (налоги минус субсидии)</t>
  </si>
  <si>
    <t>PRODUSUL INTERN BRUT</t>
  </si>
  <si>
    <t>ВАЛОВОЙ ВНУТРЕННИЙ ПРОДУКТ</t>
  </si>
  <si>
    <t>UTILIZĂRI / ИСПОЛЬЗОВАНИЕ</t>
  </si>
  <si>
    <t>Конечное потребление - всего</t>
  </si>
  <si>
    <t>Consumul final al gospodăriilor populaţiei</t>
  </si>
  <si>
    <t>Конечное потребление домашних хозяйств</t>
  </si>
  <si>
    <t>Formarea brută de capital</t>
  </si>
  <si>
    <t>Formarea brută de capital fix</t>
  </si>
  <si>
    <t>Валовое накопление основного капитала</t>
  </si>
  <si>
    <t>Exportul net de bunuri şi servicii</t>
  </si>
  <si>
    <t>Чистый экспорт товаров и услуг</t>
  </si>
  <si>
    <t>Exportul de bunuri şi servicii</t>
  </si>
  <si>
    <t>Экспорт товаров и услуг</t>
  </si>
  <si>
    <t>Importul de bunuri şi servicii (-)</t>
  </si>
  <si>
    <t>Импорт товаров и услуг (-)</t>
  </si>
  <si>
    <t>В отдельных случаях незначительные расхождения между итогом и суммой слагаемых объясняются округлением данных.</t>
  </si>
  <si>
    <t>Valoarea adăugată brută</t>
  </si>
  <si>
    <t>Валовая добавленная стоимость</t>
  </si>
  <si>
    <t>Volumul producţiei</t>
  </si>
  <si>
    <t xml:space="preserve">Валовой выпуск  </t>
  </si>
  <si>
    <t>Consumul intermediar</t>
  </si>
  <si>
    <t>Промежуточное потребление</t>
  </si>
  <si>
    <t>Procurarea bunurilor</t>
  </si>
  <si>
    <t>Приобретение товаров</t>
  </si>
  <si>
    <t>Procurarea serviciilor</t>
  </si>
  <si>
    <t>Приобрeтение услуг</t>
  </si>
  <si>
    <t xml:space="preserve">Procurarea bunurilor şi serviciilor de către rezidenţi peste hotare </t>
  </si>
  <si>
    <t>Приобретение товаров и услуг резидентами за границей</t>
  </si>
  <si>
    <t>Procurarea bunurilor şi serviciilor de către nerezidenţi pe teritoriul economic al ţării (-)</t>
  </si>
  <si>
    <t>Приобретение товаров и услуг нерезидентами на экономической территории страны (-)</t>
  </si>
  <si>
    <t>Consumul final al administraţiei publice</t>
  </si>
  <si>
    <t>Конечное потребление государственного управления</t>
  </si>
  <si>
    <t>Consumul final al instituţiilor fără scop lucrativ în serviciul gospodăriilor populaţiei</t>
  </si>
  <si>
    <t>Конечное потребление некоммерческих организаций, обслуживающих домашние хозяйства</t>
  </si>
  <si>
    <t>Валовое накопление</t>
  </si>
  <si>
    <t>Maşini şi utilaje</t>
  </si>
  <si>
    <t>Машины и оборудование</t>
  </si>
  <si>
    <t>Alte</t>
  </si>
  <si>
    <t>Прочие</t>
  </si>
  <si>
    <t>Bunuri</t>
  </si>
  <si>
    <t>Товары</t>
  </si>
  <si>
    <t>Servicii</t>
  </si>
  <si>
    <t>Услуги</t>
  </si>
  <si>
    <t>Activități de cazare și alimentație publică</t>
  </si>
  <si>
    <t>Consumul final - total</t>
  </si>
  <si>
    <t>Деятельность по размещению и общественному питанию</t>
  </si>
  <si>
    <t>Impozite nete pe produs (impozite minus subvenții)</t>
  </si>
  <si>
    <t>Искусство, развлечения и отдых</t>
  </si>
  <si>
    <t>Финансовая деятельность и страхование</t>
  </si>
  <si>
    <t>Activități financiare și asigurări</t>
  </si>
  <si>
    <t>Производство и обеспечение электро- и теплоэнергией, газом, горячей водой; кондиционирование воздуха</t>
  </si>
  <si>
    <t>Arta, activități de recreere și de agrement</t>
  </si>
  <si>
    <t>Activităţi ale gospodăriilor casnice în calitate de angajator de personal casnic; activităţi ale gospodăriilor casnice de producere de bunuri şi servicii destinate consumului propriu</t>
  </si>
  <si>
    <r>
      <t xml:space="preserve">Preţuri curente,
mii lei
</t>
    </r>
    <r>
      <rPr>
        <i/>
        <sz val="12"/>
        <rFont val="Times New Roman"/>
        <family val="1"/>
      </rPr>
      <t>Tекущие цены, тыс.лей</t>
    </r>
  </si>
  <si>
    <t xml:space="preserve">Note: </t>
  </si>
  <si>
    <t xml:space="preserve">Примечание: </t>
  </si>
  <si>
    <t>1.</t>
  </si>
  <si>
    <t>Informaţia este prezentată fără datele raioanelor din partea stângă a Nistrului şi mun. Bender.</t>
  </si>
  <si>
    <t xml:space="preserve">Информация представлена без данных предприятий и организаций левобережья Днестра и муниципия Бендер </t>
  </si>
  <si>
    <t>În unele cazuri pot apărea decalaje neînsemnate între totalurile indicate și sumele componente incluse, fapt ce se explică prin rotunjirea datelor</t>
  </si>
  <si>
    <r>
      <t xml:space="preserve">Contribuţia
la formarea PIB
</t>
    </r>
    <r>
      <rPr>
        <i/>
        <sz val="12"/>
        <rFont val="Times New Roman"/>
        <family val="1"/>
      </rPr>
      <t>Структура ВВП
%</t>
    </r>
  </si>
  <si>
    <r>
      <t xml:space="preserve">Contribuţia
la creşterea/ descreşterea PIB (+/-)
</t>
    </r>
    <r>
      <rPr>
        <i/>
        <sz val="12"/>
        <rFont val="Times New Roman"/>
        <family val="1"/>
      </rPr>
      <t>Степень влияния на ВВП (+/-)
 %</t>
    </r>
  </si>
  <si>
    <t>Denumirea activităților economice
 conform CAEM-2</t>
  </si>
  <si>
    <t>Наименование вида экономической деятельности
согласно КЭДМ-2</t>
  </si>
  <si>
    <t>Clădiri și construcții speciale</t>
  </si>
  <si>
    <t>Здания и специальные сооружения</t>
  </si>
  <si>
    <t>Variaţia stocurilor</t>
  </si>
  <si>
    <t>Изменение запасов</t>
  </si>
  <si>
    <r>
      <t xml:space="preserve">Preţurile medii ale anului 2025, mii lei
</t>
    </r>
    <r>
      <rPr>
        <i/>
        <sz val="12"/>
        <rFont val="Times New Roman"/>
        <family val="1"/>
      </rPr>
      <t>Cредние цены 2025 года, тыс.лей</t>
    </r>
  </si>
  <si>
    <t>Secțiunile conform CAEM-2
Секции согласно КЭДМ-2</t>
  </si>
  <si>
    <t>Denumirea activităților economice
conform CAEM-2</t>
  </si>
  <si>
    <t>Наименование видов экономической деятельности
согласно КЭДМ - 2</t>
  </si>
  <si>
    <r>
      <t>Tabelul A1. Resursele şi utilizările Produsului Intern Brut în trimestrul II 2026</t>
    </r>
    <r>
      <rPr>
        <b/>
        <vertAlign val="superscript"/>
        <sz val="12"/>
        <rFont val="Times New Roman"/>
        <family val="1"/>
      </rPr>
      <t>1</t>
    </r>
  </si>
  <si>
    <r>
      <t xml:space="preserve">                                              Производство и использование валового внутреннего продукта в II квартале 2026</t>
    </r>
    <r>
      <rPr>
        <b/>
        <i/>
        <vertAlign val="superscript"/>
        <sz val="12"/>
        <rFont val="Times New Roman"/>
        <family val="1"/>
      </rPr>
      <t>1</t>
    </r>
  </si>
  <si>
    <r>
      <t xml:space="preserve">Indici de volum
- în % faţă de 
trimestrul II 2025
</t>
    </r>
    <r>
      <rPr>
        <i/>
        <sz val="12"/>
        <rFont val="Times New Roman"/>
        <family val="1"/>
      </rPr>
      <t>Индексы  физического объема в % к II кварталу 2025</t>
    </r>
  </si>
  <si>
    <r>
      <t xml:space="preserve">Indici - deflatori
- în % față de
 trimestrul II 2025
</t>
    </r>
    <r>
      <rPr>
        <i/>
        <sz val="12"/>
        <rFont val="Times New Roman"/>
        <family val="1"/>
      </rPr>
      <t>Индексы-дефляторы в % к II кварталу 2025</t>
    </r>
  </si>
  <si>
    <r>
      <t>Tabelul A2. Volumul Producției în trimestrul II 2026</t>
    </r>
    <r>
      <rPr>
        <b/>
        <vertAlign val="superscript"/>
        <sz val="12"/>
        <rFont val="Times New Roman"/>
        <family val="1"/>
      </rPr>
      <t>1</t>
    </r>
  </si>
  <si>
    <r>
      <t xml:space="preserve">                    Валовой выпуск в II квартале 2026</t>
    </r>
    <r>
      <rPr>
        <b/>
        <i/>
        <vertAlign val="superscript"/>
        <sz val="12"/>
        <rFont val="Times New Roman"/>
        <family val="1"/>
      </rPr>
      <t>1</t>
    </r>
  </si>
  <si>
    <t>II trimestru 2026</t>
  </si>
  <si>
    <r>
      <t xml:space="preserve">Indici de volum
- în % faţă de
 trimestrul II 2025
</t>
    </r>
    <r>
      <rPr>
        <i/>
        <sz val="12"/>
        <rFont val="Times New Roman"/>
        <family val="1"/>
      </rPr>
      <t>Индексы  физического объема в % к 
II кварталу 2025</t>
    </r>
  </si>
  <si>
    <r>
      <t>Indici - deflatori
- în % față de
 trimestrul II 2025</t>
    </r>
    <r>
      <rPr>
        <i/>
        <sz val="12"/>
        <rFont val="Times New Roman"/>
        <family val="1"/>
      </rPr>
      <t xml:space="preserve"> 
Идексы-дефляторы в % к II кварталу 2025</t>
    </r>
  </si>
  <si>
    <r>
      <t>Tabelul A3. Consumul Intermediar în trimestrul II 2026</t>
    </r>
    <r>
      <rPr>
        <b/>
        <vertAlign val="superscript"/>
        <sz val="12"/>
        <rFont val="Times New Roman"/>
        <family val="1"/>
      </rPr>
      <t>1</t>
    </r>
  </si>
  <si>
    <r>
      <t xml:space="preserve">                                      Промежуточное потребление в II квартале 2026</t>
    </r>
    <r>
      <rPr>
        <b/>
        <i/>
        <vertAlign val="superscript"/>
        <sz val="12"/>
        <rFont val="Times New Roman"/>
        <family val="1"/>
      </rPr>
      <t>1</t>
    </r>
  </si>
  <si>
    <r>
      <t xml:space="preserve">Indici - deflatori
- în % față de 
trimestrul II 2025
</t>
    </r>
    <r>
      <rPr>
        <i/>
        <sz val="12"/>
        <rFont val="Times New Roman"/>
        <family val="1"/>
      </rPr>
      <t>Идексы-дефляторы в % к 
II кварталу 2025</t>
    </r>
  </si>
  <si>
    <t>I semestru 2026
I полугодие 2026</t>
  </si>
  <si>
    <t>Preţurile medii ale anului 2025, mii lei
Cредние цены 2025 года, тыс.лей</t>
  </si>
  <si>
    <t>Indici de volum
- în % faţă de 
anul 2025
Индексы  физического объема в % к  2025 году</t>
  </si>
  <si>
    <t>Indici - deflatori
- în % față de
anul 2025
Индексы-дефляторы в % к 2025 году</t>
  </si>
  <si>
    <r>
      <t xml:space="preserve">Preţuri curente,
mii lei
</t>
    </r>
    <r>
      <rPr>
        <i/>
        <sz val="12"/>
        <rFont val="Times New Roman"/>
        <family val="1"/>
        <charset val="204"/>
      </rPr>
      <t>Tекущие цены, тыс.лей</t>
    </r>
  </si>
  <si>
    <r>
      <t xml:space="preserve">Contribuţia
la formarea PIB
</t>
    </r>
    <r>
      <rPr>
        <i/>
        <sz val="12"/>
        <rFont val="Times New Roman"/>
        <family val="1"/>
        <charset val="204"/>
      </rPr>
      <t>Структура ВВП
%</t>
    </r>
  </si>
  <si>
    <r>
      <t xml:space="preserve">Contribuţia
la creşterea/ descreşterea PIB (+/-)
</t>
    </r>
    <r>
      <rPr>
        <i/>
        <sz val="12"/>
        <rFont val="Times New Roman"/>
        <family val="1"/>
        <charset val="204"/>
      </rPr>
      <t>Степень влияния на ВВП (+/-)
 %</t>
    </r>
  </si>
  <si>
    <r>
      <t>Tabelul A4. Resursele şi utilizările Produsului Intern Brut în semestrul I 2026</t>
    </r>
    <r>
      <rPr>
        <b/>
        <vertAlign val="superscript"/>
        <sz val="12"/>
        <rFont val="Times New Roman"/>
        <family val="1"/>
        <charset val="204"/>
      </rPr>
      <t>1</t>
    </r>
  </si>
  <si>
    <r>
      <t>Производство и использование валового внутреннего продукта в I полугодии 2026</t>
    </r>
    <r>
      <rPr>
        <b/>
        <i/>
        <vertAlign val="superscript"/>
        <sz val="12"/>
        <rFont val="Times New Roman"/>
        <family val="1"/>
        <charset val="204"/>
      </rPr>
      <t>1</t>
    </r>
  </si>
  <si>
    <t>x</t>
  </si>
  <si>
    <t>Secțiunile conform CAEM -2</t>
  </si>
  <si>
    <t>trimestrul II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</si>
</sst>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р_._-;\-* #,##0.00_р_._-;_-* &quot;-&quot;??_р_._-;_-@_-"/>
    <numFmt numFmtId="165" formatCode="0.0"/>
    <numFmt numFmtId="166" formatCode="#,##0.0"/>
    <numFmt numFmtId="167" formatCode="#."/>
    <numFmt numFmtId="168" formatCode="_-* #,##0.00[$€-1]_-;\-* #,##0.00[$€-1]_-;_-* &quot;-&quot;??[$€-1]_-"/>
    <numFmt numFmtId="169" formatCode="#,##0_ ;[Red]\(#,##0\)\ ;_(* &quot;——        &quot;_)"/>
    <numFmt numFmtId="170" formatCode="0.0_ ;\-0.0\ "/>
  </numFmts>
  <fonts count="73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Calibri"/>
      <family val="2"/>
      <charset val="204"/>
    </font>
    <font>
      <sz val="9"/>
      <color indexed="8"/>
      <name val="Times New Roman"/>
      <family val="2"/>
      <charset val="204"/>
    </font>
    <font>
      <sz val="11"/>
      <color indexed="9"/>
      <name val="Calibri"/>
      <family val="2"/>
      <charset val="204"/>
    </font>
    <font>
      <sz val="9"/>
      <color indexed="9"/>
      <name val="Times New Roman"/>
      <family val="2"/>
      <charset val="204"/>
    </font>
    <font>
      <sz val="11"/>
      <color indexed="20"/>
      <name val="Calibri"/>
      <family val="2"/>
      <charset val="204"/>
    </font>
    <font>
      <sz val="9"/>
      <color indexed="20"/>
      <name val="Times New Roman"/>
      <family val="2"/>
      <charset val="204"/>
    </font>
    <font>
      <b/>
      <sz val="11"/>
      <color indexed="52"/>
      <name val="Calibri"/>
      <family val="2"/>
      <charset val="204"/>
    </font>
    <font>
      <b/>
      <sz val="9"/>
      <color indexed="52"/>
      <name val="Times New Roman"/>
      <family val="2"/>
      <charset val="204"/>
    </font>
    <font>
      <b/>
      <sz val="11"/>
      <color indexed="9"/>
      <name val="Calibri"/>
      <family val="2"/>
      <charset val="204"/>
    </font>
    <font>
      <b/>
      <sz val="9"/>
      <color indexed="9"/>
      <name val="Times New Roman"/>
      <family val="2"/>
      <charset val="204"/>
    </font>
    <font>
      <sz val="1"/>
      <color indexed="16"/>
      <name val="Courier"/>
      <family val="1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i/>
      <sz val="9"/>
      <color indexed="23"/>
      <name val="Times New Roman"/>
      <family val="2"/>
      <charset val="204"/>
    </font>
    <font>
      <sz val="11"/>
      <color indexed="17"/>
      <name val="Calibri"/>
      <family val="2"/>
      <charset val="204"/>
    </font>
    <font>
      <sz val="9"/>
      <color indexed="17"/>
      <name val="Times New Roman"/>
      <family val="2"/>
      <charset val="204"/>
    </font>
    <font>
      <b/>
      <sz val="15"/>
      <color indexed="56"/>
      <name val="Calibri"/>
      <family val="2"/>
      <charset val="204"/>
    </font>
    <font>
      <b/>
      <sz val="15"/>
      <color indexed="56"/>
      <name val="Times New Roman"/>
      <family val="2"/>
      <charset val="204"/>
    </font>
    <font>
      <b/>
      <sz val="13"/>
      <color indexed="56"/>
      <name val="Calibri"/>
      <family val="2"/>
      <charset val="204"/>
    </font>
    <font>
      <b/>
      <sz val="13"/>
      <color indexed="56"/>
      <name val="Times New Roman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Times New Roman"/>
      <family val="2"/>
      <charset val="204"/>
    </font>
    <font>
      <b/>
      <sz val="1"/>
      <color indexed="16"/>
      <name val="Courier"/>
      <family val="1"/>
      <charset val="204"/>
    </font>
    <font>
      <u/>
      <sz val="8"/>
      <color indexed="12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9"/>
      <color indexed="62"/>
      <name val="Times New Roman"/>
      <family val="2"/>
      <charset val="204"/>
    </font>
    <font>
      <sz val="11"/>
      <color indexed="52"/>
      <name val="Calibri"/>
      <family val="2"/>
      <charset val="204"/>
    </font>
    <font>
      <sz val="9"/>
      <color indexed="52"/>
      <name val="Times New Roman"/>
      <family val="2"/>
      <charset val="204"/>
    </font>
    <font>
      <sz val="6.15"/>
      <name val="Arial"/>
      <family val="2"/>
    </font>
    <font>
      <sz val="11"/>
      <color indexed="60"/>
      <name val="Calibri"/>
      <family val="2"/>
      <charset val="204"/>
    </font>
    <font>
      <sz val="9"/>
      <color indexed="60"/>
      <name val="Times New Roman"/>
      <family val="2"/>
      <charset val="204"/>
    </font>
    <font>
      <sz val="9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0"/>
      <name val="Arial Cyr"/>
      <charset val="238"/>
    </font>
    <font>
      <b/>
      <sz val="11"/>
      <color indexed="63"/>
      <name val="Calibri"/>
      <family val="2"/>
      <charset val="204"/>
    </font>
    <font>
      <b/>
      <sz val="9"/>
      <color indexed="63"/>
      <name val="Times New Roman"/>
      <family val="2"/>
      <charset val="204"/>
    </font>
    <font>
      <sz val="10"/>
      <color indexed="8"/>
      <name val="Arial"/>
      <family val="2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b/>
      <sz val="9"/>
      <color indexed="8"/>
      <name val="Times New Roman"/>
      <family val="2"/>
      <charset val="204"/>
    </font>
    <font>
      <sz val="11"/>
      <color indexed="10"/>
      <name val="Calibri"/>
      <family val="2"/>
      <charset val="204"/>
    </font>
    <font>
      <sz val="9"/>
      <color indexed="10"/>
      <name val="Times New Roman"/>
      <family val="2"/>
      <charset val="204"/>
    </font>
    <font>
      <sz val="8"/>
      <name val="Times New Roman"/>
      <family val="1"/>
      <charset val="204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b/>
      <i/>
      <vertAlign val="superscript"/>
      <sz val="12"/>
      <name val="Times New Roman"/>
      <family val="1"/>
    </font>
    <font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b/>
      <i/>
      <vertAlign val="superscript"/>
      <sz val="12"/>
      <name val="Times New Roman"/>
      <family val="1"/>
      <charset val="204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61">
    <xf numFmtId="0" fontId="0" fillId="0" borderId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1" borderId="0" applyNumberFormat="0" applyBorder="0" applyAlignment="0" applyProtection="0"/>
    <xf numFmtId="0" fontId="5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8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8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3" borderId="0" applyNumberFormat="0" applyBorder="0" applyAlignment="0" applyProtection="0"/>
    <xf numFmtId="0" fontId="9" fillId="3" borderId="0" applyNumberFormat="0" applyBorder="0" applyAlignment="0" applyProtection="0"/>
    <xf numFmtId="0" fontId="11" fillId="20" borderId="1" applyNumberFormat="0" applyAlignment="0" applyProtection="0"/>
    <xf numFmtId="0" fontId="12" fillId="20" borderId="1" applyNumberFormat="0" applyAlignment="0" applyProtection="0"/>
    <xf numFmtId="0" fontId="11" fillId="20" borderId="1" applyNumberFormat="0" applyAlignment="0" applyProtection="0"/>
    <xf numFmtId="0" fontId="13" fillId="21" borderId="3" applyNumberFormat="0" applyAlignment="0" applyProtection="0"/>
    <xf numFmtId="0" fontId="14" fillId="21" borderId="3" applyNumberFormat="0" applyAlignment="0" applyProtection="0"/>
    <xf numFmtId="0" fontId="13" fillId="21" borderId="3" applyNumberFormat="0" applyAlignment="0" applyProtection="0"/>
    <xf numFmtId="167" fontId="15" fillId="0" borderId="0">
      <protection locked="0"/>
    </xf>
    <xf numFmtId="168" fontId="1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67" fontId="15" fillId="0" borderId="0">
      <protection locked="0"/>
    </xf>
    <xf numFmtId="0" fontId="19" fillId="4" borderId="0" applyNumberFormat="0" applyBorder="0" applyAlignment="0" applyProtection="0"/>
    <xf numFmtId="0" fontId="20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0" borderId="4" applyNumberFormat="0" applyFill="0" applyAlignment="0" applyProtection="0"/>
    <xf numFmtId="0" fontId="22" fillId="0" borderId="4" applyNumberFormat="0" applyFill="0" applyAlignment="0" applyProtection="0"/>
    <xf numFmtId="0" fontId="21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5" applyNumberFormat="0" applyFill="0" applyAlignment="0" applyProtection="0"/>
    <xf numFmtId="0" fontId="23" fillId="0" borderId="5" applyNumberFormat="0" applyFill="0" applyAlignment="0" applyProtection="0"/>
    <xf numFmtId="0" fontId="25" fillId="0" borderId="6" applyNumberFormat="0" applyFill="0" applyAlignment="0" applyProtection="0"/>
    <xf numFmtId="0" fontId="26" fillId="0" borderId="6" applyNumberFormat="0" applyFill="0" applyAlignment="0" applyProtection="0"/>
    <xf numFmtId="0" fontId="25" fillId="0" borderId="6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67" fontId="27" fillId="0" borderId="0">
      <protection locked="0"/>
    </xf>
    <xf numFmtId="167" fontId="27" fillId="0" borderId="0"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29" fillId="7" borderId="1" applyNumberFormat="0" applyAlignment="0" applyProtection="0"/>
    <xf numFmtId="0" fontId="30" fillId="7" borderId="1" applyNumberFormat="0" applyAlignment="0" applyProtection="0"/>
    <xf numFmtId="0" fontId="29" fillId="7" borderId="1" applyNumberFormat="0" applyAlignment="0" applyProtection="0"/>
    <xf numFmtId="0" fontId="31" fillId="0" borderId="2" applyNumberFormat="0" applyFill="0" applyAlignment="0" applyProtection="0"/>
    <xf numFmtId="0" fontId="32" fillId="0" borderId="2" applyNumberFormat="0" applyFill="0" applyAlignment="0" applyProtection="0"/>
    <xf numFmtId="0" fontId="31" fillId="0" borderId="2" applyNumberFormat="0" applyFill="0" applyAlignment="0" applyProtection="0"/>
    <xf numFmtId="0" fontId="33" fillId="0" borderId="8" applyNumberFormat="0" applyFill="0" applyProtection="0">
      <alignment horizontal="left" vertical="top" wrapText="1"/>
    </xf>
    <xf numFmtId="0" fontId="34" fillId="22" borderId="0" applyNumberFormat="0" applyBorder="0" applyAlignment="0" applyProtection="0"/>
    <xf numFmtId="0" fontId="35" fillId="22" borderId="0" applyNumberFormat="0" applyBorder="0" applyAlignment="0" applyProtection="0"/>
    <xf numFmtId="0" fontId="34" fillId="22" borderId="0" applyNumberFormat="0" applyBorder="0" applyAlignment="0" applyProtection="0"/>
    <xf numFmtId="0" fontId="1" fillId="0" borderId="0"/>
    <xf numFmtId="0" fontId="1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7" fillId="0" borderId="0" applyNumberFormat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23" borderId="9" applyNumberFormat="0" applyFont="0" applyAlignment="0" applyProtection="0"/>
    <xf numFmtId="0" fontId="6" fillId="23" borderId="9" applyNumberFormat="0" applyFont="0" applyAlignment="0" applyProtection="0"/>
    <xf numFmtId="0" fontId="1" fillId="23" borderId="9" applyNumberFormat="0" applyFont="0" applyAlignment="0" applyProtection="0"/>
    <xf numFmtId="0" fontId="39" fillId="20" borderId="7" applyNumberFormat="0" applyAlignment="0" applyProtection="0"/>
    <xf numFmtId="0" fontId="40" fillId="20" borderId="7" applyNumberFormat="0" applyAlignment="0" applyProtection="0"/>
    <xf numFmtId="0" fontId="39" fillId="20" borderId="7" applyNumberFormat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1" fillId="0" borderId="0">
      <alignment vertical="top"/>
    </xf>
    <xf numFmtId="0" fontId="42" fillId="0" borderId="0" applyNumberFormat="0" applyFill="0" applyBorder="0" applyAlignment="0" applyProtection="0"/>
    <xf numFmtId="0" fontId="43" fillId="0" borderId="10" applyNumberFormat="0" applyFill="0" applyAlignment="0" applyProtection="0"/>
    <xf numFmtId="0" fontId="44" fillId="0" borderId="10" applyNumberFormat="0" applyFill="0" applyAlignment="0" applyProtection="0"/>
    <xf numFmtId="0" fontId="43" fillId="0" borderId="10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49" fontId="36" fillId="0" borderId="11" applyFont="0" applyBorder="0">
      <alignment horizontal="center" vertical="center" wrapText="1"/>
      <protection hidden="1"/>
    </xf>
    <xf numFmtId="1" fontId="2" fillId="24" borderId="12">
      <alignment horizontal="center" vertical="center"/>
      <protection hidden="1"/>
    </xf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38" fillId="0" borderId="0"/>
    <xf numFmtId="0" fontId="54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164" fontId="16" fillId="0" borderId="0" applyFont="0" applyFill="0" applyBorder="0" applyAlignment="0" applyProtection="0"/>
    <xf numFmtId="169" fontId="2" fillId="0" borderId="0" applyFont="0" applyBorder="0" applyProtection="0">
      <alignment horizontal="right" vertical="center" shrinkToFit="1"/>
      <protection locked="0" hidden="1"/>
    </xf>
  </cellStyleXfs>
  <cellXfs count="173">
    <xf numFmtId="0" fontId="0" fillId="0" borderId="0" xfId="0"/>
    <xf numFmtId="0" fontId="4" fillId="0" borderId="0" xfId="0" applyFont="1"/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3" fillId="0" borderId="0" xfId="0" applyFont="1" applyAlignment="1">
      <alignment vertical="center"/>
    </xf>
    <xf numFmtId="0" fontId="4" fillId="0" borderId="13" xfId="0" applyFont="1" applyBorder="1" applyAlignment="1">
      <alignment horizontal="center"/>
    </xf>
    <xf numFmtId="165" fontId="4" fillId="0" borderId="0" xfId="0" applyNumberFormat="1" applyFont="1"/>
    <xf numFmtId="0" fontId="4" fillId="25" borderId="0" xfId="0" applyFont="1" applyFill="1"/>
    <xf numFmtId="0" fontId="4" fillId="25" borderId="14" xfId="0" applyFont="1" applyFill="1" applyBorder="1" applyAlignment="1">
      <alignment horizontal="left" wrapText="1" indent="2"/>
    </xf>
    <xf numFmtId="0" fontId="48" fillId="0" borderId="15" xfId="128" applyFont="1" applyBorder="1" applyAlignment="1">
      <alignment wrapText="1"/>
    </xf>
    <xf numFmtId="0" fontId="49" fillId="25" borderId="15" xfId="0" applyFont="1" applyFill="1" applyBorder="1" applyAlignment="1">
      <alignment horizontal="left" wrapText="1" indent="2"/>
    </xf>
    <xf numFmtId="0" fontId="3" fillId="26" borderId="16" xfId="0" applyFont="1" applyFill="1" applyBorder="1" applyAlignment="1">
      <alignment vertical="center"/>
    </xf>
    <xf numFmtId="3" fontId="3" fillId="26" borderId="17" xfId="0" applyNumberFormat="1" applyFont="1" applyFill="1" applyBorder="1" applyAlignment="1">
      <alignment vertical="center"/>
    </xf>
    <xf numFmtId="0" fontId="48" fillId="26" borderId="18" xfId="0" applyFont="1" applyFill="1" applyBorder="1" applyAlignment="1">
      <alignment horizontal="left" vertical="center" wrapText="1"/>
    </xf>
    <xf numFmtId="0" fontId="3" fillId="26" borderId="17" xfId="0" applyFont="1" applyFill="1" applyBorder="1" applyAlignment="1">
      <alignment horizontal="left" vertical="center"/>
    </xf>
    <xf numFmtId="0" fontId="48" fillId="26" borderId="18" xfId="0" applyFont="1" applyFill="1" applyBorder="1" applyAlignment="1">
      <alignment horizontal="left" vertical="center"/>
    </xf>
    <xf numFmtId="3" fontId="4" fillId="0" borderId="14" xfId="0" applyNumberFormat="1" applyFont="1" applyBorder="1"/>
    <xf numFmtId="166" fontId="3" fillId="26" borderId="17" xfId="0" applyNumberFormat="1" applyFont="1" applyFill="1" applyBorder="1" applyAlignment="1">
      <alignment vertical="center"/>
    </xf>
    <xf numFmtId="166" fontId="4" fillId="0" borderId="14" xfId="0" applyNumberFormat="1" applyFont="1" applyBorder="1"/>
    <xf numFmtId="0" fontId="4" fillId="0" borderId="14" xfId="155" applyFont="1" applyBorder="1" applyAlignment="1">
      <alignment horizontal="center" vertical="top" wrapText="1"/>
    </xf>
    <xf numFmtId="0" fontId="4" fillId="0" borderId="14" xfId="128" applyFont="1" applyBorder="1" applyAlignment="1">
      <alignment horizontal="center" vertical="top" wrapText="1"/>
    </xf>
    <xf numFmtId="0" fontId="51" fillId="0" borderId="14" xfId="0" applyFont="1" applyBorder="1" applyAlignment="1">
      <alignment horizontal="left" wrapText="1"/>
    </xf>
    <xf numFmtId="0" fontId="50" fillId="0" borderId="14" xfId="156" applyFont="1" applyBorder="1" applyAlignment="1">
      <alignment horizontal="left" indent="1"/>
    </xf>
    <xf numFmtId="0" fontId="50" fillId="0" borderId="14" xfId="156" applyFont="1" applyBorder="1" applyAlignment="1">
      <alignment horizontal="left" wrapText="1" indent="3"/>
    </xf>
    <xf numFmtId="0" fontId="50" fillId="0" borderId="14" xfId="156" applyFont="1" applyBorder="1" applyAlignment="1">
      <alignment horizontal="left" wrapText="1" indent="1"/>
    </xf>
    <xf numFmtId="0" fontId="51" fillId="0" borderId="14" xfId="156" applyFont="1" applyBorder="1" applyAlignment="1">
      <alignment wrapText="1"/>
    </xf>
    <xf numFmtId="0" fontId="50" fillId="0" borderId="14" xfId="156" applyFont="1" applyBorder="1" applyAlignment="1">
      <alignment horizontal="left" indent="3"/>
    </xf>
    <xf numFmtId="0" fontId="51" fillId="0" borderId="14" xfId="156" applyFont="1" applyBorder="1"/>
    <xf numFmtId="0" fontId="50" fillId="0" borderId="17" xfId="156" applyFont="1" applyBorder="1" applyAlignment="1">
      <alignment horizontal="left" indent="3"/>
    </xf>
    <xf numFmtId="0" fontId="55" fillId="0" borderId="0" xfId="0" applyFont="1" applyAlignment="1">
      <alignment vertical="center"/>
    </xf>
    <xf numFmtId="0" fontId="56" fillId="0" borderId="0" xfId="0" applyFont="1"/>
    <xf numFmtId="0" fontId="4" fillId="0" borderId="14" xfId="0" applyFont="1" applyBorder="1" applyAlignment="1">
      <alignment horizontal="left" wrapText="1" indent="2"/>
    </xf>
    <xf numFmtId="0" fontId="49" fillId="0" borderId="15" xfId="0" applyFont="1" applyBorder="1" applyAlignment="1">
      <alignment horizontal="left" wrapText="1" indent="2"/>
    </xf>
    <xf numFmtId="0" fontId="48" fillId="0" borderId="15" xfId="0" applyFont="1" applyBorder="1" applyAlignment="1">
      <alignment horizontal="left" wrapText="1"/>
    </xf>
    <xf numFmtId="0" fontId="3" fillId="0" borderId="13" xfId="0" applyFont="1" applyBorder="1" applyAlignment="1">
      <alignment vertical="center"/>
    </xf>
    <xf numFmtId="0" fontId="55" fillId="0" borderId="0" xfId="152" applyFont="1" applyAlignment="1">
      <alignment wrapText="1"/>
    </xf>
    <xf numFmtId="0" fontId="3" fillId="0" borderId="16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48" fillId="0" borderId="0" xfId="0" applyFont="1" applyAlignment="1">
      <alignment horizontal="left" vertical="center" wrapText="1"/>
    </xf>
    <xf numFmtId="0" fontId="57" fillId="0" borderId="0" xfId="0" applyFont="1"/>
    <xf numFmtId="0" fontId="58" fillId="0" borderId="0" xfId="0" applyFont="1"/>
    <xf numFmtId="3" fontId="58" fillId="0" borderId="0" xfId="0" applyNumberFormat="1" applyFont="1"/>
    <xf numFmtId="0" fontId="59" fillId="0" borderId="0" xfId="0" applyFont="1"/>
    <xf numFmtId="3" fontId="57" fillId="0" borderId="0" xfId="0" applyNumberFormat="1" applyFont="1"/>
    <xf numFmtId="0" fontId="48" fillId="27" borderId="15" xfId="0" applyFont="1" applyFill="1" applyBorder="1" applyAlignment="1">
      <alignment horizontal="left" vertical="center" wrapText="1"/>
    </xf>
    <xf numFmtId="3" fontId="50" fillId="0" borderId="14" xfId="0" applyNumberFormat="1" applyFont="1" applyBorder="1" applyAlignment="1">
      <alignment vertical="center"/>
    </xf>
    <xf numFmtId="166" fontId="50" fillId="0" borderId="14" xfId="0" applyNumberFormat="1" applyFont="1" applyBorder="1" applyAlignment="1">
      <alignment vertical="center"/>
    </xf>
    <xf numFmtId="3" fontId="50" fillId="0" borderId="17" xfId="0" applyNumberFormat="1" applyFont="1" applyBorder="1" applyAlignment="1">
      <alignment vertical="center"/>
    </xf>
    <xf numFmtId="166" fontId="50" fillId="0" borderId="17" xfId="0" applyNumberFormat="1" applyFont="1" applyBorder="1" applyAlignment="1">
      <alignment vertical="center"/>
    </xf>
    <xf numFmtId="0" fontId="51" fillId="0" borderId="13" xfId="0" applyFont="1" applyBorder="1" applyAlignment="1">
      <alignment vertical="center"/>
    </xf>
    <xf numFmtId="3" fontId="51" fillId="0" borderId="14" xfId="0" applyNumberFormat="1" applyFont="1" applyBorder="1" applyAlignment="1">
      <alignment vertical="center"/>
    </xf>
    <xf numFmtId="166" fontId="51" fillId="0" borderId="14" xfId="0" applyNumberFormat="1" applyFont="1" applyBorder="1" applyAlignment="1">
      <alignment vertical="center"/>
    </xf>
    <xf numFmtId="3" fontId="51" fillId="0" borderId="0" xfId="0" applyNumberFormat="1" applyFont="1"/>
    <xf numFmtId="0" fontId="51" fillId="0" borderId="0" xfId="0" applyFont="1" applyAlignment="1">
      <alignment vertical="center"/>
    </xf>
    <xf numFmtId="166" fontId="51" fillId="0" borderId="14" xfId="0" applyNumberFormat="1" applyFont="1" applyBorder="1" applyAlignment="1">
      <alignment horizontal="right" vertical="center"/>
    </xf>
    <xf numFmtId="3" fontId="50" fillId="0" borderId="14" xfId="0" applyNumberFormat="1" applyFont="1" applyBorder="1"/>
    <xf numFmtId="166" fontId="50" fillId="0" borderId="14" xfId="0" applyNumberFormat="1" applyFont="1" applyBorder="1"/>
    <xf numFmtId="166" fontId="4" fillId="0" borderId="0" xfId="0" applyNumberFormat="1" applyFont="1"/>
    <xf numFmtId="0" fontId="51" fillId="0" borderId="13" xfId="0" applyFont="1" applyBorder="1" applyAlignment="1">
      <alignment horizontal="center"/>
    </xf>
    <xf numFmtId="0" fontId="51" fillId="0" borderId="14" xfId="0" applyFont="1" applyBorder="1" applyAlignment="1">
      <alignment wrapText="1"/>
    </xf>
    <xf numFmtId="3" fontId="51" fillId="0" borderId="14" xfId="0" applyNumberFormat="1" applyFont="1" applyBorder="1"/>
    <xf numFmtId="166" fontId="51" fillId="0" borderId="14" xfId="0" applyNumberFormat="1" applyFont="1" applyBorder="1"/>
    <xf numFmtId="166" fontId="51" fillId="0" borderId="0" xfId="0" applyNumberFormat="1" applyFont="1"/>
    <xf numFmtId="0" fontId="51" fillId="0" borderId="0" xfId="0" applyFont="1"/>
    <xf numFmtId="0" fontId="51" fillId="0" borderId="13" xfId="0" applyFont="1" applyBorder="1"/>
    <xf numFmtId="0" fontId="51" fillId="0" borderId="14" xfId="128" applyFont="1" applyBorder="1" applyAlignment="1">
      <alignment wrapText="1"/>
    </xf>
    <xf numFmtId="0" fontId="51" fillId="27" borderId="13" xfId="0" applyFont="1" applyFill="1" applyBorder="1" applyAlignment="1">
      <alignment vertical="center"/>
    </xf>
    <xf numFmtId="0" fontId="51" fillId="27" borderId="14" xfId="0" applyFont="1" applyFill="1" applyBorder="1" applyAlignment="1">
      <alignment vertical="center" wrapText="1"/>
    </xf>
    <xf numFmtId="3" fontId="51" fillId="27" borderId="14" xfId="0" applyNumberFormat="1" applyFont="1" applyFill="1" applyBorder="1" applyAlignment="1">
      <alignment vertical="center"/>
    </xf>
    <xf numFmtId="166" fontId="51" fillId="27" borderId="14" xfId="0" applyNumberFormat="1" applyFont="1" applyFill="1" applyBorder="1" applyAlignment="1">
      <alignment vertical="center"/>
    </xf>
    <xf numFmtId="4" fontId="4" fillId="0" borderId="0" xfId="0" applyNumberFormat="1" applyFont="1"/>
    <xf numFmtId="170" fontId="4" fillId="0" borderId="14" xfId="0" applyNumberFormat="1" applyFont="1" applyBorder="1"/>
    <xf numFmtId="170" fontId="51" fillId="0" borderId="14" xfId="0" applyNumberFormat="1" applyFont="1" applyBorder="1"/>
    <xf numFmtId="0" fontId="3" fillId="0" borderId="13" xfId="0" applyFont="1" applyBorder="1" applyAlignment="1">
      <alignment horizontal="center"/>
    </xf>
    <xf numFmtId="0" fontId="61" fillId="0" borderId="0" xfId="0" applyFont="1"/>
    <xf numFmtId="166" fontId="61" fillId="0" borderId="0" xfId="0" applyNumberFormat="1" applyFont="1"/>
    <xf numFmtId="0" fontId="62" fillId="0" borderId="0" xfId="152" applyFont="1" applyAlignment="1">
      <alignment wrapText="1"/>
    </xf>
    <xf numFmtId="0" fontId="62" fillId="0" borderId="0" xfId="0" applyFont="1" applyAlignment="1">
      <alignment vertical="center"/>
    </xf>
    <xf numFmtId="3" fontId="61" fillId="0" borderId="0" xfId="0" applyNumberFormat="1" applyFont="1"/>
    <xf numFmtId="3" fontId="60" fillId="0" borderId="0" xfId="0" applyNumberFormat="1" applyFont="1"/>
    <xf numFmtId="0" fontId="60" fillId="0" borderId="0" xfId="0" applyFont="1"/>
    <xf numFmtId="0" fontId="60" fillId="0" borderId="0" xfId="0" applyFont="1" applyAlignment="1">
      <alignment vertical="center"/>
    </xf>
    <xf numFmtId="166" fontId="60" fillId="0" borderId="0" xfId="0" applyNumberFormat="1" applyFont="1"/>
    <xf numFmtId="0" fontId="60" fillId="0" borderId="0" xfId="0" applyFont="1" applyAlignment="1">
      <alignment vertical="center" wrapText="1"/>
    </xf>
    <xf numFmtId="3" fontId="60" fillId="0" borderId="0" xfId="0" applyNumberFormat="1" applyFont="1" applyAlignment="1">
      <alignment vertical="center"/>
    </xf>
    <xf numFmtId="166" fontId="60" fillId="0" borderId="0" xfId="0" applyNumberFormat="1" applyFont="1" applyAlignment="1">
      <alignment vertical="center"/>
    </xf>
    <xf numFmtId="0" fontId="62" fillId="0" borderId="0" xfId="0" applyFont="1" applyAlignment="1">
      <alignment horizontal="left" vertical="center" wrapText="1"/>
    </xf>
    <xf numFmtId="0" fontId="4" fillId="0" borderId="25" xfId="155" applyFont="1" applyBorder="1" applyAlignment="1">
      <alignment horizontal="center" vertical="top" wrapText="1"/>
    </xf>
    <xf numFmtId="0" fontId="4" fillId="0" borderId="25" xfId="128" applyFont="1" applyBorder="1" applyAlignment="1">
      <alignment horizontal="center" vertical="top" wrapText="1"/>
    </xf>
    <xf numFmtId="0" fontId="3" fillId="0" borderId="14" xfId="0" applyFont="1" applyBorder="1" applyAlignment="1">
      <alignment wrapText="1"/>
    </xf>
    <xf numFmtId="3" fontId="3" fillId="0" borderId="14" xfId="0" applyNumberFormat="1" applyFont="1" applyBorder="1"/>
    <xf numFmtId="166" fontId="3" fillId="0" borderId="14" xfId="0" applyNumberFormat="1" applyFont="1" applyBorder="1"/>
    <xf numFmtId="0" fontId="3" fillId="0" borderId="13" xfId="0" applyFont="1" applyBorder="1"/>
    <xf numFmtId="0" fontId="3" fillId="0" borderId="14" xfId="128" applyFont="1" applyBorder="1" applyAlignment="1">
      <alignment wrapText="1"/>
    </xf>
    <xf numFmtId="0" fontId="3" fillId="27" borderId="13" xfId="0" applyFont="1" applyFill="1" applyBorder="1" applyAlignment="1">
      <alignment vertical="center"/>
    </xf>
    <xf numFmtId="0" fontId="3" fillId="27" borderId="14" xfId="0" applyFont="1" applyFill="1" applyBorder="1" applyAlignment="1">
      <alignment vertical="center" wrapText="1"/>
    </xf>
    <xf numFmtId="3" fontId="3" fillId="27" borderId="14" xfId="0" applyNumberFormat="1" applyFont="1" applyFill="1" applyBorder="1" applyAlignment="1">
      <alignment vertical="center"/>
    </xf>
    <xf numFmtId="166" fontId="3" fillId="27" borderId="14" xfId="0" applyNumberFormat="1" applyFont="1" applyFill="1" applyBorder="1" applyAlignment="1">
      <alignment vertical="center"/>
    </xf>
    <xf numFmtId="0" fontId="3" fillId="0" borderId="14" xfId="0" applyFont="1" applyBorder="1" applyAlignment="1">
      <alignment horizontal="left" wrapText="1"/>
    </xf>
    <xf numFmtId="3" fontId="3" fillId="0" borderId="14" xfId="0" applyNumberFormat="1" applyFont="1" applyBorder="1" applyAlignment="1">
      <alignment vertical="center"/>
    </xf>
    <xf numFmtId="166" fontId="3" fillId="0" borderId="14" xfId="0" applyNumberFormat="1" applyFont="1" applyBorder="1" applyAlignment="1">
      <alignment vertical="center"/>
    </xf>
    <xf numFmtId="0" fontId="4" fillId="0" borderId="14" xfId="156" applyFont="1" applyBorder="1" applyAlignment="1">
      <alignment horizontal="left" indent="1"/>
    </xf>
    <xf numFmtId="3" fontId="4" fillId="0" borderId="14" xfId="0" applyNumberFormat="1" applyFont="1" applyBorder="1" applyAlignment="1">
      <alignment vertical="center"/>
    </xf>
    <xf numFmtId="166" fontId="4" fillId="0" borderId="14" xfId="0" applyNumberFormat="1" applyFont="1" applyBorder="1" applyAlignment="1">
      <alignment vertical="center"/>
    </xf>
    <xf numFmtId="0" fontId="4" fillId="0" borderId="14" xfId="156" applyFont="1" applyBorder="1" applyAlignment="1">
      <alignment horizontal="left" wrapText="1" indent="3"/>
    </xf>
    <xf numFmtId="0" fontId="4" fillId="0" borderId="14" xfId="156" applyFont="1" applyBorder="1" applyAlignment="1">
      <alignment horizontal="left" wrapText="1" indent="1"/>
    </xf>
    <xf numFmtId="0" fontId="3" fillId="0" borderId="14" xfId="156" applyFont="1" applyBorder="1" applyAlignment="1">
      <alignment wrapText="1"/>
    </xf>
    <xf numFmtId="0" fontId="4" fillId="0" borderId="14" xfId="156" applyFont="1" applyBorder="1" applyAlignment="1">
      <alignment horizontal="left" indent="3"/>
    </xf>
    <xf numFmtId="0" fontId="3" fillId="0" borderId="14" xfId="156" applyFont="1" applyBorder="1"/>
    <xf numFmtId="0" fontId="4" fillId="0" borderId="17" xfId="156" applyFont="1" applyBorder="1" applyAlignment="1">
      <alignment horizontal="left" indent="3"/>
    </xf>
    <xf numFmtId="3" fontId="4" fillId="0" borderId="17" xfId="0" applyNumberFormat="1" applyFont="1" applyBorder="1" applyAlignment="1">
      <alignment vertical="center"/>
    </xf>
    <xf numFmtId="166" fontId="4" fillId="0" borderId="17" xfId="0" applyNumberFormat="1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64" fillId="0" borderId="15" xfId="0" applyFont="1" applyBorder="1" applyAlignment="1">
      <alignment horizontal="left" wrapText="1" indent="2"/>
    </xf>
    <xf numFmtId="0" fontId="66" fillId="0" borderId="15" xfId="0" applyFont="1" applyBorder="1" applyAlignment="1">
      <alignment horizontal="left" wrapText="1"/>
    </xf>
    <xf numFmtId="0" fontId="66" fillId="0" borderId="15" xfId="128" applyFont="1" applyBorder="1" applyAlignment="1">
      <alignment wrapText="1"/>
    </xf>
    <xf numFmtId="0" fontId="66" fillId="27" borderId="15" xfId="0" applyFont="1" applyFill="1" applyBorder="1" applyAlignment="1">
      <alignment horizontal="left" vertical="center" wrapText="1"/>
    </xf>
    <xf numFmtId="0" fontId="69" fillId="0" borderId="15" xfId="149" applyFont="1" applyBorder="1" applyAlignment="1">
      <alignment wrapText="1"/>
    </xf>
    <xf numFmtId="0" fontId="70" fillId="0" borderId="15" xfId="155" applyFont="1" applyBorder="1" applyAlignment="1">
      <alignment horizontal="left" wrapText="1" indent="1"/>
    </xf>
    <xf numFmtId="0" fontId="70" fillId="0" borderId="15" xfId="155" applyFont="1" applyBorder="1" applyAlignment="1">
      <alignment horizontal="left" wrapText="1" indent="2"/>
    </xf>
    <xf numFmtId="0" fontId="69" fillId="0" borderId="15" xfId="155" applyFont="1" applyBorder="1" applyAlignment="1">
      <alignment wrapText="1"/>
    </xf>
    <xf numFmtId="0" fontId="70" fillId="0" borderId="15" xfId="157" applyFont="1" applyBorder="1" applyAlignment="1">
      <alignment horizontal="left" wrapText="1" indent="2"/>
    </xf>
    <xf numFmtId="0" fontId="70" fillId="0" borderId="18" xfId="157" applyFont="1" applyBorder="1" applyAlignment="1">
      <alignment horizontal="left" wrapText="1" indent="2"/>
    </xf>
    <xf numFmtId="0" fontId="66" fillId="0" borderId="15" xfId="149" applyFont="1" applyBorder="1" applyAlignment="1">
      <alignment wrapText="1"/>
    </xf>
    <xf numFmtId="0" fontId="64" fillId="0" borderId="15" xfId="155" applyFont="1" applyBorder="1" applyAlignment="1">
      <alignment horizontal="left" wrapText="1" indent="1"/>
    </xf>
    <xf numFmtId="0" fontId="64" fillId="0" borderId="15" xfId="155" applyFont="1" applyBorder="1" applyAlignment="1">
      <alignment horizontal="left" wrapText="1" indent="2"/>
    </xf>
    <xf numFmtId="0" fontId="66" fillId="0" borderId="15" xfId="155" applyFont="1" applyBorder="1" applyAlignment="1">
      <alignment wrapText="1"/>
    </xf>
    <xf numFmtId="0" fontId="64" fillId="0" borderId="15" xfId="157" applyFont="1" applyBorder="1" applyAlignment="1">
      <alignment horizontal="left" wrapText="1" indent="2"/>
    </xf>
    <xf numFmtId="0" fontId="64" fillId="0" borderId="18" xfId="157" applyFont="1" applyBorder="1" applyAlignment="1">
      <alignment horizontal="left" wrapText="1" indent="2"/>
    </xf>
    <xf numFmtId="0" fontId="36" fillId="0" borderId="0" xfId="0" applyFont="1"/>
    <xf numFmtId="0" fontId="71" fillId="0" borderId="0" xfId="0" applyFont="1"/>
    <xf numFmtId="166" fontId="71" fillId="0" borderId="0" xfId="0" applyNumberFormat="1" applyFont="1"/>
    <xf numFmtId="3" fontId="71" fillId="0" borderId="0" xfId="0" applyNumberFormat="1" applyFont="1"/>
    <xf numFmtId="0" fontId="72" fillId="0" borderId="0" xfId="0" applyFont="1"/>
    <xf numFmtId="3" fontId="36" fillId="0" borderId="0" xfId="0" applyNumberFormat="1" applyFont="1"/>
    <xf numFmtId="0" fontId="3" fillId="0" borderId="20" xfId="0" applyFont="1" applyBorder="1"/>
    <xf numFmtId="0" fontId="3" fillId="0" borderId="19" xfId="0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6" fontId="50" fillId="0" borderId="14" xfId="0" applyNumberFormat="1" applyFont="1" applyBorder="1" applyAlignment="1"/>
    <xf numFmtId="0" fontId="55" fillId="0" borderId="13" xfId="152" applyFont="1" applyBorder="1" applyAlignment="1">
      <alignment horizontal="center" wrapText="1"/>
    </xf>
    <xf numFmtId="0" fontId="55" fillId="0" borderId="14" xfId="152" applyFont="1" applyBorder="1" applyAlignment="1">
      <alignment horizontal="center" wrapText="1"/>
    </xf>
    <xf numFmtId="0" fontId="55" fillId="0" borderId="15" xfId="152" applyFont="1" applyBorder="1" applyAlignment="1">
      <alignment horizontal="center" wrapText="1"/>
    </xf>
    <xf numFmtId="0" fontId="3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3" fillId="0" borderId="0" xfId="128" applyFont="1" applyAlignment="1">
      <alignment horizontal="center" wrapText="1"/>
    </xf>
    <xf numFmtId="0" fontId="48" fillId="0" borderId="0" xfId="128" applyFont="1" applyAlignment="1">
      <alignment horizontal="center" wrapText="1"/>
    </xf>
    <xf numFmtId="0" fontId="55" fillId="0" borderId="13" xfId="0" applyFont="1" applyBorder="1" applyAlignment="1">
      <alignment horizontal="center" vertical="center"/>
    </xf>
    <xf numFmtId="0" fontId="55" fillId="0" borderId="14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 wrapText="1"/>
    </xf>
    <xf numFmtId="0" fontId="50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50" fillId="0" borderId="19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 wrapText="1"/>
    </xf>
    <xf numFmtId="0" fontId="63" fillId="28" borderId="22" xfId="0" applyFont="1" applyFill="1" applyBorder="1" applyAlignment="1">
      <alignment horizontal="center" vertical="center" wrapText="1"/>
    </xf>
    <xf numFmtId="0" fontId="63" fillId="28" borderId="24" xfId="0" applyFont="1" applyFill="1" applyBorder="1" applyAlignment="1">
      <alignment horizontal="center" vertical="center" wrapText="1"/>
    </xf>
    <xf numFmtId="0" fontId="65" fillId="0" borderId="27" xfId="0" applyFont="1" applyBorder="1" applyAlignment="1">
      <alignment horizontal="center" vertical="center"/>
    </xf>
    <xf numFmtId="0" fontId="65" fillId="0" borderId="28" xfId="0" applyFont="1" applyBorder="1" applyAlignment="1">
      <alignment horizontal="center" vertical="center"/>
    </xf>
    <xf numFmtId="0" fontId="65" fillId="0" borderId="29" xfId="0" applyFont="1" applyBorder="1" applyAlignment="1">
      <alignment horizontal="center" vertical="center"/>
    </xf>
    <xf numFmtId="0" fontId="65" fillId="0" borderId="13" xfId="152" applyFont="1" applyBorder="1" applyAlignment="1">
      <alignment horizontal="center" wrapText="1"/>
    </xf>
    <xf numFmtId="0" fontId="65" fillId="0" borderId="14" xfId="152" applyFont="1" applyBorder="1" applyAlignment="1">
      <alignment horizontal="center" wrapText="1"/>
    </xf>
    <xf numFmtId="0" fontId="65" fillId="0" borderId="15" xfId="152" applyFont="1" applyBorder="1" applyAlignment="1">
      <alignment horizontal="center" wrapText="1"/>
    </xf>
    <xf numFmtId="0" fontId="66" fillId="0" borderId="0" xfId="128" applyFont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</cellXfs>
  <cellStyles count="161">
    <cellStyle name="20% - Accent1" xfId="1" xr:uid="{C9F84532-A6BA-4C03-BCBF-5812243487F6}"/>
    <cellStyle name="20% - Accent1 2" xfId="2" xr:uid="{F95625D7-75A1-45B7-85B2-364502761D42}"/>
    <cellStyle name="20% - Accent1_Acord_BNM-BNS_2012_prel_transmis" xfId="3" xr:uid="{A1A3E587-FA31-4B08-9CC5-182EDB188A9C}"/>
    <cellStyle name="20% - Accent2" xfId="4" xr:uid="{43EFBDC5-887D-4E3A-A2CD-1F0DB8E7321E}"/>
    <cellStyle name="20% - Accent2 2" xfId="5" xr:uid="{CA6C7123-E961-4268-98ED-5B6BFA634CCE}"/>
    <cellStyle name="20% - Accent2_Acord_BNM-BNS_2012_prel_transmis" xfId="6" xr:uid="{68558129-B1DB-44DD-8257-598DAF2EFB15}"/>
    <cellStyle name="20% - Accent3" xfId="7" xr:uid="{0891BE42-228B-4EE0-9E19-FC17E1060383}"/>
    <cellStyle name="20% - Accent3 2" xfId="8" xr:uid="{46EA5A5D-89FD-4778-8154-CC91FD9CBD5C}"/>
    <cellStyle name="20% - Accent3_Acord_BNM-BNS_2012_prel_transmis" xfId="9" xr:uid="{17EA523B-4D4E-492C-9A31-16E02458922A}"/>
    <cellStyle name="20% - Accent4" xfId="10" xr:uid="{CA38E859-6A9D-4837-AFA6-EA851E5FDDA0}"/>
    <cellStyle name="20% - Accent4 2" xfId="11" xr:uid="{00A0E99F-83E4-4B47-BBF1-59E69CA3CFD9}"/>
    <cellStyle name="20% - Accent4_Acord_BNM-BNS_2012_prel_transmis" xfId="12" xr:uid="{E0F20C34-1CC0-4579-B92E-E79960ECF63B}"/>
    <cellStyle name="20% - Accent5" xfId="13" xr:uid="{832C317A-6C59-4626-A3B0-D21D23D41481}"/>
    <cellStyle name="20% - Accent5 2" xfId="14" xr:uid="{3183D191-5452-4CC6-8CEA-81FA01C11400}"/>
    <cellStyle name="20% - Accent5_Acord_BNM-BNS_2012_prel_transmis" xfId="15" xr:uid="{77601454-ABD5-4798-A29A-A8AE842B58F7}"/>
    <cellStyle name="20% - Accent6" xfId="16" xr:uid="{C0321098-6922-45D5-9436-6F8DC825B89B}"/>
    <cellStyle name="20% - Accent6 2" xfId="17" xr:uid="{4B0936D7-76A6-41F7-8CC4-2CAB9351AC7E}"/>
    <cellStyle name="20% - Accent6_Acord_BNM-BNS_2012_prel_transmis" xfId="18" xr:uid="{14F3A2E5-F717-46E6-9A16-5676E47AD146}"/>
    <cellStyle name="40% - Accent1" xfId="19" xr:uid="{B9AB6530-7606-4440-9CF4-2DFD41244480}"/>
    <cellStyle name="40% - Accent1 2" xfId="20" xr:uid="{F76A9B4A-354D-4A16-A485-B00323B79203}"/>
    <cellStyle name="40% - Accent1_Acord_BNM-BNS_2012_prel_transmis" xfId="21" xr:uid="{5C3B8626-9E68-497E-8045-A1A95C796FDB}"/>
    <cellStyle name="40% - Accent2" xfId="22" xr:uid="{85263F55-7461-406B-8865-40BAAB347BBC}"/>
    <cellStyle name="40% - Accent2 2" xfId="23" xr:uid="{0067D69F-906F-490F-8906-05C39333C17B}"/>
    <cellStyle name="40% - Accent2_Acord_BNM-BNS_2012_prel_transmis" xfId="24" xr:uid="{68AE4802-1B9D-4A67-AAA0-B8D3B07D212E}"/>
    <cellStyle name="40% - Accent3" xfId="25" xr:uid="{09BCC16F-DC2E-418C-BCB2-F795F6507C9E}"/>
    <cellStyle name="40% - Accent3 2" xfId="26" xr:uid="{1C8C5BC1-A8F5-4BD0-B938-8D37D456616D}"/>
    <cellStyle name="40% - Accent3_Acord_BNM-BNS_2012_prel_transmis" xfId="27" xr:uid="{360E25C0-3788-4B82-9C09-26658E1F518D}"/>
    <cellStyle name="40% - Accent4" xfId="28" xr:uid="{2C294A93-AFAE-4155-A4AB-501CD95EE37B}"/>
    <cellStyle name="40% - Accent4 2" xfId="29" xr:uid="{4092FC17-1CE4-4F53-8B8A-0965F0148C9C}"/>
    <cellStyle name="40% - Accent4_Acord_BNM-BNS_2012_prel_transmis" xfId="30" xr:uid="{DDA5033B-313D-4363-8A40-5F34D5B56D02}"/>
    <cellStyle name="40% - Accent5" xfId="31" xr:uid="{C843F17E-2F5E-4A8C-8A17-FCA8BA33D2BF}"/>
    <cellStyle name="40% - Accent5 2" xfId="32" xr:uid="{64018348-F128-4FA6-A9BE-129A56AC5C53}"/>
    <cellStyle name="40% - Accent5_Acord_BNM-BNS_2012_prel_transmis" xfId="33" xr:uid="{FB2C6F71-305E-445D-8CEB-87D0C03A9BC7}"/>
    <cellStyle name="40% - Accent6" xfId="34" xr:uid="{FC79141F-A2AD-445F-94E6-12575E91EFA3}"/>
    <cellStyle name="40% - Accent6 2" xfId="35" xr:uid="{E45E155B-2B55-4201-9FC2-21C63C4E3F6C}"/>
    <cellStyle name="40% - Accent6_Acord_BNM-BNS_2012_prel_transmis" xfId="36" xr:uid="{B1AE7683-62A0-45A0-9F2C-9C49FFD95610}"/>
    <cellStyle name="60% - Accent1" xfId="37" xr:uid="{3D63C787-CFC3-4C21-96DD-1751972176A5}"/>
    <cellStyle name="60% - Accent1 2" xfId="38" xr:uid="{29F182E7-38F2-4E8C-B30D-78534DFD5AAC}"/>
    <cellStyle name="60% - Accent1_Acord_BNM-BNS_2012_prel_transmis" xfId="39" xr:uid="{AB15AB63-0F55-4AD8-936E-26413DEED996}"/>
    <cellStyle name="60% - Accent2" xfId="40" xr:uid="{28771B15-299A-4C87-8F7F-E60C34B6C5F4}"/>
    <cellStyle name="60% - Accent2 2" xfId="41" xr:uid="{51632C9E-0D68-4673-B467-48B5B7829DF0}"/>
    <cellStyle name="60% - Accent2_Acord_BNM-BNS_2012_prel_transmis" xfId="42" xr:uid="{AFF25246-6E95-49A6-809B-E51007B2BB22}"/>
    <cellStyle name="60% - Accent3" xfId="43" xr:uid="{8A056CDE-BAEF-4A0C-84BD-6AFA6AB54DFE}"/>
    <cellStyle name="60% - Accent3 2" xfId="44" xr:uid="{798EBB24-FCC6-4631-97E0-A3EDC37FEFF3}"/>
    <cellStyle name="60% - Accent3_Acord_BNM-BNS_2012_prel_transmis" xfId="45" xr:uid="{A7E2633A-E316-44F6-9D3D-24313AC02283}"/>
    <cellStyle name="60% - Accent4" xfId="46" xr:uid="{63352B91-2A61-49AC-A161-3F4D313600F3}"/>
    <cellStyle name="60% - Accent4 2" xfId="47" xr:uid="{F3A85950-C949-4584-A479-EDE3741A1550}"/>
    <cellStyle name="60% - Accent4_Acord_BNM-BNS_2012_prel_transmis" xfId="48" xr:uid="{2731D70F-98F2-4AF3-8961-6F572F53FF2D}"/>
    <cellStyle name="60% - Accent5" xfId="49" xr:uid="{90B0C385-A2C9-4B4D-BA9C-68020E3282E0}"/>
    <cellStyle name="60% - Accent5 2" xfId="50" xr:uid="{76FD7BE2-4CE4-41B6-A188-B61B884511B7}"/>
    <cellStyle name="60% - Accent5_Acord_BNM-BNS_2012_prel_transmis" xfId="51" xr:uid="{272355D3-4FE2-4E04-A513-63C649CB6EF1}"/>
    <cellStyle name="60% - Accent6" xfId="52" xr:uid="{826CA972-0E4B-443C-A788-8FDFF460989D}"/>
    <cellStyle name="60% - Accent6 2" xfId="53" xr:uid="{17F8CF94-3472-466A-BAA7-9C0E157DA478}"/>
    <cellStyle name="60% - Accent6_Acord_BNM-BNS_2012_prel_transmis" xfId="54" xr:uid="{A60B8AEC-637F-4DE0-B29A-055AF787792F}"/>
    <cellStyle name="Accent1" xfId="55" xr:uid="{2697ABCC-CF63-4A7B-9013-7F1EC1FE6C6E}"/>
    <cellStyle name="Accent1 2" xfId="56" xr:uid="{67AF00BE-CDA6-4E2C-9418-CE791C864E5D}"/>
    <cellStyle name="Accent1_Acord_BNM-BNS_2012_prel_transmis" xfId="57" xr:uid="{4C67691E-49A6-4063-9DCC-41EE9CD5FC4F}"/>
    <cellStyle name="Accent2" xfId="58" xr:uid="{28E73435-AABC-44EF-A3CB-526FE63B39CE}"/>
    <cellStyle name="Accent2 2" xfId="59" xr:uid="{0B3B1AE1-F5E0-42A1-94D6-3102C4DBBD32}"/>
    <cellStyle name="Accent2_Acord_BNM-BNS_2012_prel_transmis" xfId="60" xr:uid="{13A2EE2F-865F-499D-8377-77576182C344}"/>
    <cellStyle name="Accent3" xfId="61" xr:uid="{9C4767F9-32B3-4F93-8B6E-A842A6BA6235}"/>
    <cellStyle name="Accent3 2" xfId="62" xr:uid="{3F02FCFD-EE7A-4CE6-9628-EF717B076700}"/>
    <cellStyle name="Accent3_Acord_BNM-BNS_2012_prel_transmis" xfId="63" xr:uid="{43054F26-1DCB-4243-9145-FEA23F2F64FF}"/>
    <cellStyle name="Accent4" xfId="64" xr:uid="{2C387DEF-DDC6-4ADA-BEA8-BE10D078C608}"/>
    <cellStyle name="Accent4 2" xfId="65" xr:uid="{C5C9D617-635B-4ECD-9E88-33FF01E1F485}"/>
    <cellStyle name="Accent4_Acord_BNM-BNS_2012_prel_transmis" xfId="66" xr:uid="{C0385986-A339-41C5-BC6F-DBC2A0C27BC7}"/>
    <cellStyle name="Accent5" xfId="67" xr:uid="{E9E670A8-3BF3-4C27-B6FE-1A787BDFF19B}"/>
    <cellStyle name="Accent5 2" xfId="68" xr:uid="{9BEFD746-1A8C-4976-AE01-355F2D642CB8}"/>
    <cellStyle name="Accent5_Acord_BNM-BNS_2012_prel_transmis" xfId="69" xr:uid="{85271093-DD57-49FE-BCBA-5585268FA488}"/>
    <cellStyle name="Accent6" xfId="70" xr:uid="{02BCF324-33DB-489E-9466-9EC8283209B8}"/>
    <cellStyle name="Accent6 2" xfId="71" xr:uid="{125DB089-8057-47FC-B3F2-052E067CE737}"/>
    <cellStyle name="Accent6_Acord_BNM-BNS_2012_prel_transmis" xfId="72" xr:uid="{62E378FD-C296-4564-BD62-AA2C007D2004}"/>
    <cellStyle name="Bad" xfId="73" xr:uid="{4CA041A0-89B7-40C7-9632-0658F7B97B0E}"/>
    <cellStyle name="Bad 2" xfId="74" xr:uid="{37F6072F-C2EB-47DE-A1A2-09B370C1922E}"/>
    <cellStyle name="Bad_Acord_BNM-BNS_2012_prel_transmis" xfId="75" xr:uid="{418D2FC4-7B16-4DE9-9906-20CC1F4E6D54}"/>
    <cellStyle name="Calculation" xfId="76" xr:uid="{F37C4784-3C21-4A9F-BB39-377E69CB0983}"/>
    <cellStyle name="Calculation 2" xfId="77" xr:uid="{0BE7A34A-F3D8-41A4-A6A9-11EB97290B81}"/>
    <cellStyle name="Calculation_Acord_BNM-BNS_2012_prel_transmis" xfId="78" xr:uid="{3244FBA0-CC51-4533-8888-80279EC20137}"/>
    <cellStyle name="Check Cell" xfId="79" xr:uid="{FF06D678-B70D-4876-9C8C-0539349AC933}"/>
    <cellStyle name="Check Cell 2" xfId="80" xr:uid="{AB78083D-7355-4648-8B8E-E17BF986C98C}"/>
    <cellStyle name="Check Cell_Acord_BNM-BNS_2012_prel_transmis" xfId="81" xr:uid="{B02FCBDC-583D-4162-B333-151B1CE1B593}"/>
    <cellStyle name="Date" xfId="82" xr:uid="{3FF07583-0503-4A82-B7FE-75B1FDC5E579}"/>
    <cellStyle name="Euro" xfId="83" xr:uid="{1793F255-12F1-4052-A1DC-56C0B56CB48D}"/>
    <cellStyle name="Explanatory Text" xfId="84" xr:uid="{4348D0B5-6C66-4F13-873F-01CD9F646C71}"/>
    <cellStyle name="Explanatory Text 2" xfId="85" xr:uid="{A3A084C8-911C-4E47-AC22-8669B3A7DD6E}"/>
    <cellStyle name="Explanatory Text_Acord_BNM-BNS_2012_prel_transmis" xfId="86" xr:uid="{67810639-9D9F-4F72-A3B4-DE05C278B2C2}"/>
    <cellStyle name="Fixed" xfId="87" xr:uid="{54669511-2C95-4F33-8736-1AE908A1E100}"/>
    <cellStyle name="Good" xfId="88" xr:uid="{81E520C8-897A-475A-9219-DA7D2C463903}"/>
    <cellStyle name="Good 2" xfId="89" xr:uid="{9B2BF8B1-6CC1-4350-A3E6-F256DF48A4C6}"/>
    <cellStyle name="Good_Acord_BNM-BNS_2012_prel_transmis" xfId="90" xr:uid="{A27D9F09-E1C3-41D7-AF02-56DC56E6299F}"/>
    <cellStyle name="Heading 1" xfId="91" xr:uid="{4C4839C5-77C3-4E58-B70C-2A04967C1F2D}"/>
    <cellStyle name="Heading 1 2" xfId="92" xr:uid="{270E7BB1-3E46-4F3E-B46C-107F82AE3A75}"/>
    <cellStyle name="Heading 1_Acord_BNM-BNS_2012_prel_transmis" xfId="93" xr:uid="{2AD38CD9-4377-4AEA-A70D-652D7A70A92D}"/>
    <cellStyle name="Heading 2" xfId="94" xr:uid="{B4F28D48-E636-49B7-9181-CF6D880A6035}"/>
    <cellStyle name="Heading 2 2" xfId="95" xr:uid="{D488EC02-0DCC-41B6-9E80-9C70845602F7}"/>
    <cellStyle name="Heading 2_Acord_BNM-BNS_2012_prel_transmis" xfId="96" xr:uid="{B2754649-A84F-4F30-8C83-0894AECA2BB4}"/>
    <cellStyle name="Heading 3" xfId="97" xr:uid="{2167A8EC-292C-4373-82C1-A3369C937B3F}"/>
    <cellStyle name="Heading 3 2" xfId="98" xr:uid="{45A35B35-4AA6-4FCC-9EA4-6F2463322FA9}"/>
    <cellStyle name="Heading 3_Acord_BNM-BNS_2012_prel_transmis" xfId="99" xr:uid="{BA1913DE-12BA-4F89-B51D-038C83F9DEF5}"/>
    <cellStyle name="Heading 4" xfId="100" xr:uid="{D78E7F7F-8750-43C4-9528-16B3A603E8BF}"/>
    <cellStyle name="Heading 4 2" xfId="101" xr:uid="{F7EE0B34-94DD-478E-A2BA-5FFCB2FEDDE4}"/>
    <cellStyle name="Heading 4_Acord_BNM-BNS_2012_prel_transmis" xfId="102" xr:uid="{5D10C733-8855-4990-931B-B385548B41AE}"/>
    <cellStyle name="Heading1" xfId="103" xr:uid="{800BD777-5BAD-4CFC-8C44-92B1429C13FB}"/>
    <cellStyle name="Heading2" xfId="104" xr:uid="{244B9169-2704-46D0-BB0D-C2A55D3135ED}"/>
    <cellStyle name="Hyperlink 2" xfId="105" xr:uid="{291FFC94-7476-4248-A841-B672A09F254C}"/>
    <cellStyle name="Input" xfId="106" xr:uid="{860A85C5-B1AE-45D3-8ACF-35B504912308}"/>
    <cellStyle name="Input 2" xfId="107" xr:uid="{6433CC99-2B9D-4AFA-B3FA-6811C740A6AA}"/>
    <cellStyle name="Input_Acord_BNM-BNS_2012_prel_transmis" xfId="108" xr:uid="{D4FAF446-4BAE-40E0-B648-EED2CF54FBEB}"/>
    <cellStyle name="Linked Cell" xfId="109" xr:uid="{700EFF68-9F2C-4443-91B6-C526A53DE634}"/>
    <cellStyle name="Linked Cell 2" xfId="110" xr:uid="{1661A0D6-3C64-4438-93AB-29C7D1967CD7}"/>
    <cellStyle name="Linked Cell_Acord_BNM-BNS_2012_prel_transmis" xfId="111" xr:uid="{3C5BEF97-369F-46AF-96ED-27BC38AE5D6F}"/>
    <cellStyle name="m49048872" xfId="112" xr:uid="{41352A5E-41F5-4308-9620-79B4CC33BBF1}"/>
    <cellStyle name="Neutral" xfId="113" xr:uid="{A9D4D602-9734-4D35-AEC5-4F9667F05BC1}"/>
    <cellStyle name="Neutral 2" xfId="114" xr:uid="{0E31C963-0507-4135-9842-5D37A1D69F31}"/>
    <cellStyle name="Neutral_Acord_BNM-BNS_2012_prel_transmis" xfId="115" xr:uid="{D7F89F57-D986-45EC-BC85-A74138B058A2}"/>
    <cellStyle name="Normal" xfId="0" builtinId="0"/>
    <cellStyle name="Normal 2" xfId="116" xr:uid="{8798E630-1BAE-4FFD-8B3A-B22171F6243E}"/>
    <cellStyle name="Normal 2 2" xfId="117" xr:uid="{D3B5AC67-0D20-417A-A0C4-3E013A0511D4}"/>
    <cellStyle name="Normal 2_2_tr_curente_2012_2011_2" xfId="118" xr:uid="{F7BFA04F-75E6-4A77-B646-4CF92ABD7056}"/>
    <cellStyle name="Normal 3" xfId="119" xr:uid="{FC893BA0-E3E2-4907-9520-DF92FA51CF26}"/>
    <cellStyle name="Normal 4" xfId="120" xr:uid="{1A99A84E-447F-4BEC-994A-15F14D5F61DD}"/>
    <cellStyle name="Normal 5" xfId="121" xr:uid="{F8D23820-5CD4-44CC-BC23-71693705041D}"/>
    <cellStyle name="Normal 5 2" xfId="122" xr:uid="{F4FC4615-B35D-4451-9B84-47A00FD88046}"/>
    <cellStyle name="Normal 5_Acord_BNM-BNS_2012_prel_transmis" xfId="123" xr:uid="{718B109F-2A4E-45E9-85C9-39E24017E951}"/>
    <cellStyle name="Normal 6" xfId="124" xr:uid="{0ACC7E98-4F06-40DE-A342-CE6D482B804E}"/>
    <cellStyle name="Normal 7" xfId="125" xr:uid="{5116397F-F12F-4941-BD27-7188F9DA2329}"/>
    <cellStyle name="Normal 8" xfId="126" xr:uid="{FF3EBAE8-A3B3-48A3-B64F-1A7A362D9CD4}"/>
    <cellStyle name="Normal 9" xfId="127" xr:uid="{0F03CA00-257E-4B37-8B33-8E7D422F9EBB}"/>
    <cellStyle name="Normal_PIB res. util I sem2009-2010 pentru sait" xfId="128" xr:uid="{CD999992-0593-4FAA-9078-AC10C437ED8E}"/>
    <cellStyle name="Note" xfId="129" xr:uid="{F91E153E-CA36-4037-B016-3FA8DCE4EC88}"/>
    <cellStyle name="Note 2" xfId="130" xr:uid="{E00E0B03-3BF5-4B23-932F-D57044B610F6}"/>
    <cellStyle name="Note_ANUL 2013 FINAL" xfId="131" xr:uid="{929C04AF-6A1A-4889-B187-B41EE8B16EBB}"/>
    <cellStyle name="Output" xfId="132" xr:uid="{BC0533BD-C080-475B-A5E7-D7DAEC28EFF5}"/>
    <cellStyle name="Output 2" xfId="133" xr:uid="{C24FD35F-14DC-4AA8-BAFA-096491EA120F}"/>
    <cellStyle name="Output_Acord_BNM-BNS_2012_prel_transmis" xfId="134" xr:uid="{A7CEB992-3DF1-4998-B4C2-CE0F6A7C9FEE}"/>
    <cellStyle name="Percent 2" xfId="135" xr:uid="{C6092F95-FEAF-471A-89EB-26D7BBD86C93}"/>
    <cellStyle name="Percent 3" xfId="136" xr:uid="{FD48CC3B-3878-4483-9295-EFF4C5024A2B}"/>
    <cellStyle name="Style 1" xfId="137" xr:uid="{644B3180-55D6-403C-9E3E-8D8B1D51FF70}"/>
    <cellStyle name="Title" xfId="138" xr:uid="{23226123-C9DE-48DA-AB6A-29168318B5BA}"/>
    <cellStyle name="Total" xfId="139" xr:uid="{68E928BD-5112-47E7-A0A4-9FB803D05B73}"/>
    <cellStyle name="Total 2" xfId="140" xr:uid="{6C6927CD-C018-4526-90AE-F5645477167B}"/>
    <cellStyle name="Total_Acord_BNM-BNS_2012_prel_transmis" xfId="141" xr:uid="{81102E6B-B475-41F6-B092-3E062BE0BCCD}"/>
    <cellStyle name="Warning Text" xfId="142" xr:uid="{8EDA72D7-9B1B-45AC-A09E-5050FC980100}"/>
    <cellStyle name="Warning Text 2" xfId="143" xr:uid="{9EBD2154-5464-41A3-84E6-F36D7A344F5B}"/>
    <cellStyle name="Warning Text_Acord_BNM-BNS_2012_prel_transmis" xfId="144" xr:uid="{7D01F7B0-C4CF-4F7F-A754-B7B72A5C3C9F}"/>
    <cellStyle name="БалансШапка" xfId="145" xr:uid="{BD08DE17-4C01-4832-A929-7694B389EBDD}"/>
    <cellStyle name="БалансШапкаЦифры" xfId="146" xr:uid="{41DDB997-0534-4376-B065-8E17870F4CC5}"/>
    <cellStyle name="Обычный 10" xfId="147" xr:uid="{6060D6CA-BCF8-4B90-BA90-E20B70B94F35}"/>
    <cellStyle name="Обычный 2" xfId="148" xr:uid="{71EE8424-AD22-4385-8229-E7BBFA03537A}"/>
    <cellStyle name="Обычный 2 2" xfId="149" xr:uid="{C10D7934-8515-43B6-9BBD-864418F65B80}"/>
    <cellStyle name="Обычный 2_CALCUL" xfId="150" xr:uid="{77C66986-D722-445D-9920-C726B6D92452}"/>
    <cellStyle name="Обычный 3" xfId="151" xr:uid="{BEE08924-DC1B-485A-83C6-4395D78281FD}"/>
    <cellStyle name="Обычный 4" xfId="152" xr:uid="{1C049C09-FD8C-4351-9926-9B3FC66434FD}"/>
    <cellStyle name="Обычный 5" xfId="153" xr:uid="{E10ED93F-DE7C-4CB9-B706-162E437A6527}"/>
    <cellStyle name="Обычный 5 2" xfId="154" xr:uid="{7A631C4A-B5E7-4FD3-AAE3-6ED5B3C20EDA}"/>
    <cellStyle name="Обычный_RES si UTIL" xfId="155" xr:uid="{3C9A7383-65AC-4867-9E20-0677E6516E5A}"/>
    <cellStyle name="Обычный_RES si UTIL 2" xfId="156" xr:uid="{6F467196-24D1-4EA6-9D0B-60F5094CE78E}"/>
    <cellStyle name="Обычный_КTrim1-2004guv" xfId="157" xr:uid="{857F8285-143D-4724-9E74-692A47D6E138}"/>
    <cellStyle name="Процентный 2" xfId="158" xr:uid="{BE13D674-29C9-4350-8980-DA9BE46913EA}"/>
    <cellStyle name="Финансовый 2" xfId="159" xr:uid="{8640BE2D-5600-41AC-93E6-CF469E333742}"/>
    <cellStyle name="ЦыфрыОтчетов" xfId="160" xr:uid="{C00906D0-FFD0-4A82-A8A8-067320836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D836-59FC-4B33-AF72-B88D0AADDB16}">
  <sheetPr>
    <tabColor theme="4" tint="0.59999389629810485"/>
    <pageSetUpPr fitToPage="1"/>
  </sheetPr>
  <dimension ref="A1:R61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35" sqref="M35:N35"/>
    </sheetView>
  </sheetViews>
  <sheetFormatPr defaultColWidth="9.140625" defaultRowHeight="15.75"/>
  <cols>
    <col min="1" max="1" width="12.7109375" style="1" customWidth="1"/>
    <col min="2" max="2" width="22.42578125" style="1" customWidth="1"/>
    <col min="3" max="3" width="16.7109375" style="1" customWidth="1"/>
    <col min="4" max="4" width="19.7109375" style="1" customWidth="1"/>
    <col min="5" max="8" width="21.7109375" style="1" customWidth="1"/>
    <col min="9" max="9" width="60.85546875" style="1" customWidth="1"/>
    <col min="10" max="10" width="12" style="1" bestFit="1" customWidth="1"/>
    <col min="11" max="11" width="12" style="1" customWidth="1"/>
    <col min="12" max="12" width="11.28515625" style="1" bestFit="1" customWidth="1"/>
    <col min="13" max="16384" width="9.140625" style="1"/>
  </cols>
  <sheetData>
    <row r="1" spans="1:18">
      <c r="A1" s="150" t="s">
        <v>126</v>
      </c>
      <c r="B1" s="150"/>
      <c r="C1" s="150"/>
      <c r="D1" s="150"/>
      <c r="E1" s="150"/>
      <c r="F1" s="150"/>
      <c r="G1" s="150"/>
      <c r="H1" s="150"/>
      <c r="I1" s="150"/>
    </row>
    <row r="2" spans="1:18" ht="15.75" customHeight="1">
      <c r="A2" s="151" t="s">
        <v>127</v>
      </c>
      <c r="B2" s="151"/>
      <c r="C2" s="151"/>
      <c r="D2" s="151"/>
      <c r="E2" s="151"/>
      <c r="F2" s="151"/>
      <c r="G2" s="151"/>
      <c r="H2" s="151"/>
      <c r="I2" s="151"/>
    </row>
    <row r="3" spans="1:18" ht="16.5" thickBot="1">
      <c r="A3" s="2"/>
      <c r="B3" s="2"/>
      <c r="C3" s="2"/>
      <c r="D3" s="2"/>
      <c r="E3" s="2"/>
      <c r="F3" s="2"/>
      <c r="G3" s="2"/>
      <c r="H3" s="2"/>
      <c r="I3" s="2"/>
    </row>
    <row r="4" spans="1:18">
      <c r="A4" s="139"/>
      <c r="B4" s="140"/>
      <c r="C4" s="147" t="s">
        <v>149</v>
      </c>
      <c r="D4" s="147"/>
      <c r="E4" s="147"/>
      <c r="F4" s="147"/>
      <c r="G4" s="147"/>
      <c r="H4" s="147"/>
      <c r="I4" s="148" t="s">
        <v>125</v>
      </c>
    </row>
    <row r="5" spans="1:18" ht="110.25">
      <c r="A5" s="142" t="s">
        <v>148</v>
      </c>
      <c r="B5" s="141" t="s">
        <v>116</v>
      </c>
      <c r="C5" s="19" t="s">
        <v>107</v>
      </c>
      <c r="D5" s="19" t="s">
        <v>122</v>
      </c>
      <c r="E5" s="20" t="s">
        <v>128</v>
      </c>
      <c r="F5" s="20" t="s">
        <v>129</v>
      </c>
      <c r="G5" s="20" t="s">
        <v>114</v>
      </c>
      <c r="H5" s="20" t="s">
        <v>115</v>
      </c>
      <c r="I5" s="149"/>
    </row>
    <row r="6" spans="1:18" s="30" customFormat="1" ht="15.75" customHeight="1">
      <c r="A6" s="152" t="s">
        <v>0</v>
      </c>
      <c r="B6" s="153"/>
      <c r="C6" s="153"/>
      <c r="D6" s="153"/>
      <c r="E6" s="153"/>
      <c r="F6" s="153"/>
      <c r="G6" s="153"/>
      <c r="H6" s="153"/>
      <c r="I6" s="154"/>
      <c r="J6" s="29"/>
      <c r="K6" s="29"/>
      <c r="L6" s="29"/>
      <c r="M6" s="29"/>
      <c r="N6" s="29"/>
      <c r="O6" s="29"/>
      <c r="P6" s="29"/>
      <c r="Q6" s="29"/>
      <c r="R6" s="29"/>
    </row>
    <row r="7" spans="1:18" ht="31.5">
      <c r="A7" s="5" t="s">
        <v>1</v>
      </c>
      <c r="B7" s="31" t="s">
        <v>2</v>
      </c>
      <c r="C7" s="16">
        <v>3776141.8530602772</v>
      </c>
      <c r="D7" s="16">
        <v>3931665.0760063296</v>
      </c>
      <c r="E7" s="18">
        <v>109.37693523986849</v>
      </c>
      <c r="F7" s="18">
        <v>96.044342029661678</v>
      </c>
      <c r="G7" s="18">
        <v>4.2751451816865886</v>
      </c>
      <c r="H7" s="73">
        <v>0.40843626148045081</v>
      </c>
      <c r="I7" s="32" t="s">
        <v>3</v>
      </c>
      <c r="J7" s="59"/>
      <c r="K7" s="3"/>
      <c r="L7" s="3"/>
    </row>
    <row r="8" spans="1:18">
      <c r="A8" s="5" t="s">
        <v>4</v>
      </c>
      <c r="B8" s="31" t="s">
        <v>5</v>
      </c>
      <c r="C8" s="16">
        <v>327614.63375312299</v>
      </c>
      <c r="D8" s="16">
        <v>314534.72484597017</v>
      </c>
      <c r="E8" s="18">
        <v>116.03262315682565</v>
      </c>
      <c r="F8" s="18">
        <v>104.15849439630493</v>
      </c>
      <c r="G8" s="18">
        <v>0.37090770883106516</v>
      </c>
      <c r="H8" s="73">
        <v>5.2663010750853674E-2</v>
      </c>
      <c r="I8" s="32" t="s">
        <v>6</v>
      </c>
      <c r="J8" s="59"/>
      <c r="K8" s="3"/>
      <c r="L8" s="3"/>
    </row>
    <row r="9" spans="1:18" ht="31.5">
      <c r="A9" s="5" t="s">
        <v>7</v>
      </c>
      <c r="B9" s="31" t="s">
        <v>8</v>
      </c>
      <c r="C9" s="16">
        <v>7345792.1249474622</v>
      </c>
      <c r="D9" s="16">
        <v>7042598.3047825675</v>
      </c>
      <c r="E9" s="18">
        <v>106.69609753278202</v>
      </c>
      <c r="F9" s="18">
        <v>104.30514146971861</v>
      </c>
      <c r="G9" s="18">
        <v>8.3165116753200365</v>
      </c>
      <c r="H9" s="73">
        <v>0.53557311086734172</v>
      </c>
      <c r="I9" s="32" t="s">
        <v>9</v>
      </c>
      <c r="J9" s="59"/>
      <c r="K9" s="3"/>
      <c r="L9" s="3"/>
    </row>
    <row r="10" spans="1:18" ht="94.5">
      <c r="A10" s="5" t="s">
        <v>10</v>
      </c>
      <c r="B10" s="31" t="s">
        <v>11</v>
      </c>
      <c r="C10" s="16">
        <v>1181416.4139391114</v>
      </c>
      <c r="D10" s="16">
        <v>1343486.6180745284</v>
      </c>
      <c r="E10" s="18">
        <v>120.94314033560364</v>
      </c>
      <c r="F10" s="18">
        <v>87.936597063564776</v>
      </c>
      <c r="G10" s="18">
        <v>1.3375362701282021</v>
      </c>
      <c r="H10" s="73">
        <v>0.28190742708441524</v>
      </c>
      <c r="I10" s="32" t="s">
        <v>104</v>
      </c>
      <c r="J10" s="59"/>
      <c r="K10" s="3"/>
      <c r="L10" s="3"/>
    </row>
    <row r="11" spans="1:18" ht="78.75">
      <c r="A11" s="5" t="s">
        <v>12</v>
      </c>
      <c r="B11" s="31" t="s">
        <v>13</v>
      </c>
      <c r="C11" s="16">
        <v>554156.67563234398</v>
      </c>
      <c r="D11" s="16">
        <v>504301.88923993445</v>
      </c>
      <c r="E11" s="18">
        <v>86.157408417570778</v>
      </c>
      <c r="F11" s="18">
        <v>109.88590117470089</v>
      </c>
      <c r="G11" s="18">
        <v>0.62738645260614256</v>
      </c>
      <c r="H11" s="73">
        <v>-9.8181120597694682E-2</v>
      </c>
      <c r="I11" s="32" t="s">
        <v>14</v>
      </c>
      <c r="J11" s="59"/>
      <c r="K11" s="3"/>
      <c r="L11" s="3"/>
    </row>
    <row r="12" spans="1:18">
      <c r="A12" s="5" t="s">
        <v>15</v>
      </c>
      <c r="B12" s="31" t="s">
        <v>16</v>
      </c>
      <c r="C12" s="16">
        <v>4977918.5504257921</v>
      </c>
      <c r="D12" s="16">
        <v>4865512.1394830067</v>
      </c>
      <c r="E12" s="18">
        <v>92.4531223981934</v>
      </c>
      <c r="F12" s="18">
        <v>102.3102688416009</v>
      </c>
      <c r="G12" s="18">
        <v>5.6357322721958152</v>
      </c>
      <c r="H12" s="73">
        <v>-0.4812678991872113</v>
      </c>
      <c r="I12" s="32" t="s">
        <v>17</v>
      </c>
      <c r="J12" s="59"/>
      <c r="K12" s="3"/>
      <c r="L12" s="3"/>
    </row>
    <row r="13" spans="1:18" ht="94.5">
      <c r="A13" s="5" t="s">
        <v>18</v>
      </c>
      <c r="B13" s="31" t="s">
        <v>19</v>
      </c>
      <c r="C13" s="16">
        <v>13093979.740712099</v>
      </c>
      <c r="D13" s="16">
        <v>12240332.003981326</v>
      </c>
      <c r="E13" s="18">
        <v>100.64930674357069</v>
      </c>
      <c r="F13" s="18">
        <v>106.97405704725259</v>
      </c>
      <c r="G13" s="18">
        <v>14.824301251352798</v>
      </c>
      <c r="H13" s="73">
        <v>9.5685236423410813E-2</v>
      </c>
      <c r="I13" s="32" t="s">
        <v>20</v>
      </c>
      <c r="J13" s="59"/>
      <c r="K13" s="3"/>
      <c r="L13" s="3"/>
    </row>
    <row r="14" spans="1:18" ht="31.5">
      <c r="A14" s="5" t="s">
        <v>21</v>
      </c>
      <c r="B14" s="31" t="s">
        <v>22</v>
      </c>
      <c r="C14" s="16">
        <v>4538231.7051426582</v>
      </c>
      <c r="D14" s="16">
        <v>3650274.7134236111</v>
      </c>
      <c r="E14" s="18">
        <v>97.986349623155348</v>
      </c>
      <c r="F14" s="18">
        <v>124.32575796154882</v>
      </c>
      <c r="G14" s="18">
        <v>5.1379424191637337</v>
      </c>
      <c r="H14" s="73">
        <v>-9.0898486056015124E-2</v>
      </c>
      <c r="I14" s="32" t="s">
        <v>23</v>
      </c>
      <c r="J14" s="59"/>
      <c r="K14" s="3"/>
      <c r="L14" s="3"/>
    </row>
    <row r="15" spans="1:18" ht="31.5">
      <c r="A15" s="5" t="s">
        <v>24</v>
      </c>
      <c r="B15" s="31" t="s">
        <v>97</v>
      </c>
      <c r="C15" s="16">
        <v>1682498.618760034</v>
      </c>
      <c r="D15" s="16">
        <v>1519989.3697634127</v>
      </c>
      <c r="E15" s="18">
        <v>101.03928296082667</v>
      </c>
      <c r="F15" s="18">
        <v>110.69147273193865</v>
      </c>
      <c r="G15" s="18">
        <v>1.9048346548096378</v>
      </c>
      <c r="H15" s="73">
        <v>1.8945091766880959E-2</v>
      </c>
      <c r="I15" s="32" t="s">
        <v>99</v>
      </c>
      <c r="J15" s="59"/>
      <c r="K15" s="3"/>
      <c r="L15" s="3"/>
    </row>
    <row r="16" spans="1:18" ht="31.5">
      <c r="A16" s="5" t="s">
        <v>25</v>
      </c>
      <c r="B16" s="31" t="s">
        <v>26</v>
      </c>
      <c r="C16" s="16">
        <v>5997671.5457694642</v>
      </c>
      <c r="D16" s="16">
        <v>5914428.9340839153</v>
      </c>
      <c r="E16" s="18">
        <v>92.115568761412575</v>
      </c>
      <c r="F16" s="18">
        <v>101.4074496897889</v>
      </c>
      <c r="G16" s="18">
        <v>6.7902418945027323</v>
      </c>
      <c r="H16" s="73">
        <v>-0.61342682114189284</v>
      </c>
      <c r="I16" s="32" t="s">
        <v>27</v>
      </c>
      <c r="J16" s="59"/>
      <c r="K16" s="3"/>
      <c r="L16" s="3"/>
    </row>
    <row r="17" spans="1:18" ht="31.5">
      <c r="A17" s="5" t="s">
        <v>28</v>
      </c>
      <c r="B17" s="31" t="s">
        <v>103</v>
      </c>
      <c r="C17" s="16">
        <v>2740467.6508931899</v>
      </c>
      <c r="D17" s="16">
        <v>2990798.1732895654</v>
      </c>
      <c r="E17" s="18">
        <v>105.81793327850507</v>
      </c>
      <c r="F17" s="18">
        <v>91.629976083573766</v>
      </c>
      <c r="G17" s="18">
        <v>3.1026104233317233</v>
      </c>
      <c r="H17" s="73">
        <v>0.19925497746818907</v>
      </c>
      <c r="I17" s="32" t="s">
        <v>102</v>
      </c>
      <c r="J17" s="59"/>
      <c r="K17" s="3"/>
      <c r="L17" s="3"/>
    </row>
    <row r="18" spans="1:18">
      <c r="A18" s="5" t="s">
        <v>29</v>
      </c>
      <c r="B18" s="31" t="s">
        <v>30</v>
      </c>
      <c r="C18" s="16">
        <v>7355604.2468529074</v>
      </c>
      <c r="D18" s="16">
        <v>6660452.8372947592</v>
      </c>
      <c r="E18" s="18">
        <v>99.5303546470047</v>
      </c>
      <c r="F18" s="18">
        <v>110.43699920320273</v>
      </c>
      <c r="G18" s="18">
        <v>8.3276204332318144</v>
      </c>
      <c r="H18" s="73">
        <v>-3.808297313973092E-2</v>
      </c>
      <c r="I18" s="32" t="s">
        <v>31</v>
      </c>
      <c r="J18" s="59"/>
      <c r="K18" s="3"/>
      <c r="L18" s="3"/>
    </row>
    <row r="19" spans="1:18" ht="47.25">
      <c r="A19" s="5" t="s">
        <v>32</v>
      </c>
      <c r="B19" s="31" t="s">
        <v>33</v>
      </c>
      <c r="C19" s="16">
        <v>2005203.4838311237</v>
      </c>
      <c r="D19" s="16">
        <v>1690975.1049752238</v>
      </c>
      <c r="E19" s="18">
        <v>101.71841207269611</v>
      </c>
      <c r="F19" s="18">
        <v>118.58267327126049</v>
      </c>
      <c r="G19" s="18">
        <v>2.2701837869926411</v>
      </c>
      <c r="H19" s="73">
        <v>3.4616054688753201E-2</v>
      </c>
      <c r="I19" s="32" t="s">
        <v>34</v>
      </c>
      <c r="J19" s="59"/>
      <c r="K19" s="3"/>
      <c r="L19" s="3"/>
    </row>
    <row r="20" spans="1:18" ht="63">
      <c r="A20" s="5" t="s">
        <v>35</v>
      </c>
      <c r="B20" s="31" t="s">
        <v>36</v>
      </c>
      <c r="C20" s="16">
        <v>1290402.4258799849</v>
      </c>
      <c r="D20" s="16">
        <v>1172903.6560420101</v>
      </c>
      <c r="E20" s="18">
        <v>102.72089592864957</v>
      </c>
      <c r="F20" s="18">
        <v>110.01776823123539</v>
      </c>
      <c r="G20" s="18">
        <v>1.4609243847570685</v>
      </c>
      <c r="H20" s="73">
        <v>3.7646801426227318E-2</v>
      </c>
      <c r="I20" s="32" t="s">
        <v>37</v>
      </c>
      <c r="J20" s="59"/>
      <c r="K20" s="3"/>
      <c r="L20" s="3"/>
    </row>
    <row r="21" spans="1:18" ht="63">
      <c r="A21" s="5" t="s">
        <v>38</v>
      </c>
      <c r="B21" s="31" t="s">
        <v>39</v>
      </c>
      <c r="C21" s="16">
        <v>3857476.9550881474</v>
      </c>
      <c r="D21" s="16">
        <v>3520583.6968468293</v>
      </c>
      <c r="E21" s="18">
        <v>101.93637061891094</v>
      </c>
      <c r="F21" s="18">
        <v>109.56924439953104</v>
      </c>
      <c r="G21" s="18">
        <v>4.3672284198347091</v>
      </c>
      <c r="H21" s="73">
        <v>8.1037605912012034E-2</v>
      </c>
      <c r="I21" s="32" t="s">
        <v>40</v>
      </c>
      <c r="J21" s="59"/>
      <c r="K21" s="3"/>
      <c r="L21" s="3"/>
    </row>
    <row r="22" spans="1:18">
      <c r="A22" s="5" t="s">
        <v>41</v>
      </c>
      <c r="B22" s="31" t="s">
        <v>42</v>
      </c>
      <c r="C22" s="16">
        <v>6461237.5683321934</v>
      </c>
      <c r="D22" s="16">
        <v>6013609.8680053186</v>
      </c>
      <c r="E22" s="18">
        <v>94.652365099432316</v>
      </c>
      <c r="F22" s="18">
        <v>107.44357732130952</v>
      </c>
      <c r="G22" s="18">
        <v>7.3150664707157702</v>
      </c>
      <c r="H22" s="73">
        <v>-0.4116974146291007</v>
      </c>
      <c r="I22" s="32" t="s">
        <v>43</v>
      </c>
      <c r="J22" s="59"/>
      <c r="K22" s="3"/>
      <c r="L22" s="3"/>
    </row>
    <row r="23" spans="1:18" ht="31.5">
      <c r="A23" s="5" t="s">
        <v>44</v>
      </c>
      <c r="B23" s="31" t="s">
        <v>45</v>
      </c>
      <c r="C23" s="16">
        <v>5664840.16209717</v>
      </c>
      <c r="D23" s="16">
        <v>5563157.325319781</v>
      </c>
      <c r="E23" s="18">
        <v>101.51470495108998</v>
      </c>
      <c r="F23" s="18">
        <v>101.82779006293057</v>
      </c>
      <c r="G23" s="18">
        <v>6.4134280613392534</v>
      </c>
      <c r="H23" s="73">
        <v>0.10058495855157687</v>
      </c>
      <c r="I23" s="32" t="s">
        <v>46</v>
      </c>
      <c r="J23" s="59"/>
      <c r="K23" s="3"/>
      <c r="L23" s="3"/>
    </row>
    <row r="24" spans="1:18" ht="47.25">
      <c r="A24" s="5" t="s">
        <v>47</v>
      </c>
      <c r="B24" s="31" t="s">
        <v>105</v>
      </c>
      <c r="C24" s="16">
        <v>913756.29125798785</v>
      </c>
      <c r="D24" s="16">
        <v>856023.91279923008</v>
      </c>
      <c r="E24" s="18">
        <v>92.061020698023441</v>
      </c>
      <c r="F24" s="18">
        <v>106.74424833179843</v>
      </c>
      <c r="G24" s="18">
        <v>1.0345058416281474</v>
      </c>
      <c r="H24" s="73">
        <v>-8.9451451441912966E-2</v>
      </c>
      <c r="I24" s="32" t="s">
        <v>101</v>
      </c>
      <c r="J24" s="59"/>
      <c r="K24" s="3"/>
      <c r="L24" s="3"/>
    </row>
    <row r="25" spans="1:18" ht="31.5">
      <c r="A25" s="5" t="s">
        <v>48</v>
      </c>
      <c r="B25" s="31" t="s">
        <v>49</v>
      </c>
      <c r="C25" s="16">
        <v>1018945.6628525206</v>
      </c>
      <c r="D25" s="16">
        <v>945851.01706803136</v>
      </c>
      <c r="E25" s="18">
        <v>89.426581578303427</v>
      </c>
      <c r="F25" s="18">
        <v>107.72792379195928</v>
      </c>
      <c r="G25" s="18">
        <v>1.1535956037811657</v>
      </c>
      <c r="H25" s="73">
        <v>-0.13551399088198895</v>
      </c>
      <c r="I25" s="32" t="s">
        <v>50</v>
      </c>
      <c r="J25" s="59"/>
      <c r="K25" s="3"/>
      <c r="L25" s="3"/>
    </row>
    <row r="26" spans="1:18" ht="173.25">
      <c r="A26" s="5" t="s">
        <v>51</v>
      </c>
      <c r="B26" s="31" t="s">
        <v>106</v>
      </c>
      <c r="C26" s="16">
        <v>306859.70340000006</v>
      </c>
      <c r="D26" s="16">
        <v>287074.97716694273</v>
      </c>
      <c r="E26" s="18">
        <v>211.23203055667469</v>
      </c>
      <c r="F26" s="18">
        <v>106.89183238062296</v>
      </c>
      <c r="G26" s="18">
        <v>0.34741009037600501</v>
      </c>
      <c r="H26" s="73">
        <v>0.18317999446495417</v>
      </c>
      <c r="I26" s="32" t="s">
        <v>52</v>
      </c>
      <c r="J26" s="59"/>
      <c r="K26" s="3"/>
      <c r="L26" s="3"/>
    </row>
    <row r="27" spans="1:18" s="65" customFormat="1" ht="31.5">
      <c r="A27" s="60"/>
      <c r="B27" s="61" t="s">
        <v>70</v>
      </c>
      <c r="C27" s="92">
        <v>75090216.012627602</v>
      </c>
      <c r="D27" s="62">
        <v>71028554.342492282</v>
      </c>
      <c r="E27" s="63">
        <v>100.0825723550815</v>
      </c>
      <c r="F27" s="63">
        <v>105.71835046867267</v>
      </c>
      <c r="G27" s="63">
        <v>85.013113296585061</v>
      </c>
      <c r="H27" s="74">
        <v>7.1010373809492877E-2</v>
      </c>
      <c r="I27" s="33" t="s">
        <v>71</v>
      </c>
      <c r="J27" s="64"/>
      <c r="K27" s="54"/>
      <c r="L27" s="54"/>
    </row>
    <row r="28" spans="1:18" s="65" customFormat="1" ht="47.25">
      <c r="A28" s="66"/>
      <c r="B28" s="67" t="s">
        <v>100</v>
      </c>
      <c r="C28" s="92">
        <v>13237587.900000002</v>
      </c>
      <c r="D28" s="62">
        <v>12252531.205890847</v>
      </c>
      <c r="E28" s="63">
        <v>106.03294852744092</v>
      </c>
      <c r="F28" s="63">
        <v>108.0396179169538</v>
      </c>
      <c r="G28" s="63">
        <v>14.986886703414934</v>
      </c>
      <c r="H28" s="74">
        <v>0.84474807361804227</v>
      </c>
      <c r="I28" s="9" t="s">
        <v>53</v>
      </c>
      <c r="J28" s="64"/>
      <c r="K28" s="54"/>
      <c r="L28" s="54"/>
    </row>
    <row r="29" spans="1:18" s="55" customFormat="1" ht="31.5">
      <c r="A29" s="68"/>
      <c r="B29" s="69" t="s">
        <v>54</v>
      </c>
      <c r="C29" s="70">
        <v>88327803.912627608</v>
      </c>
      <c r="D29" s="70">
        <v>83281085.548383087</v>
      </c>
      <c r="E29" s="71">
        <v>100.91575844742752</v>
      </c>
      <c r="F29" s="71">
        <v>106.05986140912221</v>
      </c>
      <c r="G29" s="71">
        <v>100</v>
      </c>
      <c r="H29" s="71">
        <v>0.91575844742753743</v>
      </c>
      <c r="I29" s="46" t="s">
        <v>55</v>
      </c>
      <c r="J29" s="64"/>
      <c r="K29" s="54"/>
      <c r="L29" s="54"/>
    </row>
    <row r="30" spans="1:18" s="30" customFormat="1" ht="15.75" customHeight="1">
      <c r="A30" s="144" t="s">
        <v>56</v>
      </c>
      <c r="B30" s="145"/>
      <c r="C30" s="145"/>
      <c r="D30" s="145"/>
      <c r="E30" s="145"/>
      <c r="F30" s="145"/>
      <c r="G30" s="145"/>
      <c r="H30" s="145"/>
      <c r="I30" s="146"/>
      <c r="J30" s="59"/>
      <c r="K30" s="35"/>
      <c r="L30" s="35"/>
      <c r="M30" s="35"/>
      <c r="N30" s="35"/>
      <c r="O30" s="35"/>
      <c r="P30" s="35"/>
      <c r="Q30" s="35"/>
      <c r="R30" s="35"/>
    </row>
    <row r="31" spans="1:18" s="55" customFormat="1">
      <c r="A31" s="51"/>
      <c r="B31" s="21" t="s">
        <v>98</v>
      </c>
      <c r="C31" s="52">
        <v>91858971.573512241</v>
      </c>
      <c r="D31" s="52">
        <v>84469536.89382787</v>
      </c>
      <c r="E31" s="53">
        <v>100.8393032020205</v>
      </c>
      <c r="F31" s="53">
        <v>108.74804687158681</v>
      </c>
      <c r="G31" s="53">
        <f>G32+G37+G38</f>
        <v>103.99779854639836</v>
      </c>
      <c r="H31" s="53">
        <v>0.85192579498357546</v>
      </c>
      <c r="I31" s="121" t="s">
        <v>57</v>
      </c>
      <c r="J31" s="59"/>
      <c r="K31" s="54"/>
      <c r="L31" s="54"/>
    </row>
    <row r="32" spans="1:18" s="4" customFormat="1">
      <c r="A32" s="34"/>
      <c r="B32" s="22" t="s">
        <v>58</v>
      </c>
      <c r="C32" s="47">
        <v>71877081.895853162</v>
      </c>
      <c r="D32" s="47">
        <v>67811409.593601659</v>
      </c>
      <c r="E32" s="48">
        <v>101.19412988096828</v>
      </c>
      <c r="F32" s="48">
        <v>105.99555786646724</v>
      </c>
      <c r="G32" s="48">
        <f>G33+G34+G35-G36</f>
        <v>81.375375263436609</v>
      </c>
      <c r="H32" s="48">
        <v>0.96964246890028538</v>
      </c>
      <c r="I32" s="122" t="s">
        <v>59</v>
      </c>
      <c r="J32" s="59"/>
      <c r="K32" s="3"/>
      <c r="L32" s="3"/>
    </row>
    <row r="33" spans="1:12" s="4" customFormat="1" ht="31.5">
      <c r="A33" s="34"/>
      <c r="B33" s="23" t="s">
        <v>76</v>
      </c>
      <c r="C33" s="47">
        <v>47233645.142238297</v>
      </c>
      <c r="D33" s="47">
        <v>44529155.360243298</v>
      </c>
      <c r="E33" s="48">
        <v>101.40979044315581</v>
      </c>
      <c r="F33" s="48">
        <v>106.07352589582158</v>
      </c>
      <c r="G33" s="48">
        <f>C33/$C$29*100</f>
        <v>53.475398515467489</v>
      </c>
      <c r="H33" s="48">
        <v>0.75012172804361665</v>
      </c>
      <c r="I33" s="123" t="s">
        <v>77</v>
      </c>
      <c r="J33" s="59"/>
      <c r="K33" s="3"/>
      <c r="L33" s="3"/>
    </row>
    <row r="34" spans="1:12" s="4" customFormat="1" ht="31.5">
      <c r="A34" s="34"/>
      <c r="B34" s="23" t="s">
        <v>78</v>
      </c>
      <c r="C34" s="47">
        <v>25646055.484462138</v>
      </c>
      <c r="D34" s="47">
        <v>24098785.179281093</v>
      </c>
      <c r="E34" s="48">
        <v>103.33311088822205</v>
      </c>
      <c r="F34" s="48">
        <v>106.42053237816862</v>
      </c>
      <c r="G34" s="48">
        <f t="shared" ref="G34:G37" si="0">C34/$C$29*100</f>
        <v>29.035087875422317</v>
      </c>
      <c r="H34" s="48">
        <v>0.9419286777284489</v>
      </c>
      <c r="I34" s="123" t="s">
        <v>79</v>
      </c>
      <c r="J34" s="59"/>
      <c r="K34" s="3"/>
      <c r="L34" s="3"/>
    </row>
    <row r="35" spans="1:12" s="4" customFormat="1" ht="78.75">
      <c r="A35" s="34"/>
      <c r="B35" s="23" t="s">
        <v>80</v>
      </c>
      <c r="C35" s="47">
        <v>3614492.6356011424</v>
      </c>
      <c r="D35" s="47">
        <v>3460751.5860095406</v>
      </c>
      <c r="E35" s="48">
        <v>94.347833825780498</v>
      </c>
      <c r="F35" s="48">
        <v>104.44241794797166</v>
      </c>
      <c r="G35" s="48">
        <f t="shared" si="0"/>
        <v>4.0921346116298087</v>
      </c>
      <c r="H35" s="48">
        <v>-0.25122683433144311</v>
      </c>
      <c r="I35" s="123" t="s">
        <v>81</v>
      </c>
      <c r="J35" s="59"/>
      <c r="K35" s="3"/>
      <c r="L35" s="3"/>
    </row>
    <row r="36" spans="1:12" s="4" customFormat="1" ht="94.5">
      <c r="A36" s="34"/>
      <c r="B36" s="23" t="s">
        <v>82</v>
      </c>
      <c r="C36" s="57">
        <v>4617111.3664484136</v>
      </c>
      <c r="D36" s="57">
        <v>4277282.5319322739</v>
      </c>
      <c r="E36" s="58">
        <v>110.00000000000001</v>
      </c>
      <c r="F36" s="58">
        <v>107.94497048018525</v>
      </c>
      <c r="G36" s="48">
        <f t="shared" si="0"/>
        <v>5.2272457390829992</v>
      </c>
      <c r="H36" s="58">
        <v>0.4711811025403399</v>
      </c>
      <c r="I36" s="123" t="s">
        <v>83</v>
      </c>
      <c r="J36" s="59"/>
      <c r="K36" s="3"/>
      <c r="L36" s="3"/>
    </row>
    <row r="37" spans="1:12" s="4" customFormat="1" ht="31.5">
      <c r="A37" s="34"/>
      <c r="B37" s="24" t="s">
        <v>84</v>
      </c>
      <c r="C37" s="57">
        <v>18968749.677659076</v>
      </c>
      <c r="D37" s="57">
        <v>15710309.326265037</v>
      </c>
      <c r="E37" s="58">
        <v>101.81530963180876</v>
      </c>
      <c r="F37" s="58">
        <v>120.74077781489933</v>
      </c>
      <c r="G37" s="143">
        <f t="shared" si="0"/>
        <v>21.47540053913561</v>
      </c>
      <c r="H37" s="58">
        <v>0.33941808031762616</v>
      </c>
      <c r="I37" s="122" t="s">
        <v>85</v>
      </c>
      <c r="J37" s="59"/>
      <c r="K37" s="3"/>
      <c r="L37" s="3"/>
    </row>
    <row r="38" spans="1:12" s="4" customFormat="1" ht="78.75">
      <c r="A38" s="34"/>
      <c r="B38" s="24" t="s">
        <v>86</v>
      </c>
      <c r="C38" s="57">
        <v>1013140</v>
      </c>
      <c r="D38" s="57">
        <v>947817.97396117891</v>
      </c>
      <c r="E38" s="58">
        <v>71.529650803413219</v>
      </c>
      <c r="F38" s="58">
        <v>106.89183238062296</v>
      </c>
      <c r="G38" s="48">
        <f>C38/$C$29*100</f>
        <v>1.1470227438261471</v>
      </c>
      <c r="H38" s="58">
        <v>-0.45713475423433697</v>
      </c>
      <c r="I38" s="122" t="s">
        <v>87</v>
      </c>
      <c r="J38" s="59"/>
      <c r="K38" s="3"/>
      <c r="L38" s="3"/>
    </row>
    <row r="39" spans="1:12" s="55" customFormat="1" ht="31.5">
      <c r="A39" s="51"/>
      <c r="B39" s="25" t="s">
        <v>60</v>
      </c>
      <c r="C39" s="52">
        <v>23563615.722799499</v>
      </c>
      <c r="D39" s="52">
        <v>23482387.163381107</v>
      </c>
      <c r="E39" s="56" t="s">
        <v>147</v>
      </c>
      <c r="F39" s="56" t="s">
        <v>147</v>
      </c>
      <c r="G39" s="53">
        <f>G40+G44</f>
        <v>26.677461319097471</v>
      </c>
      <c r="H39" s="53">
        <v>-1.1468466029641389</v>
      </c>
      <c r="I39" s="124" t="s">
        <v>88</v>
      </c>
      <c r="J39" s="59"/>
      <c r="K39" s="54"/>
      <c r="L39" s="54"/>
    </row>
    <row r="40" spans="1:12" s="4" customFormat="1">
      <c r="A40" s="34"/>
      <c r="B40" s="22" t="s">
        <v>61</v>
      </c>
      <c r="C40" s="47">
        <v>20513073.423544046</v>
      </c>
      <c r="D40" s="47">
        <v>20079129.42334491</v>
      </c>
      <c r="E40" s="48">
        <v>103.22480238514453</v>
      </c>
      <c r="F40" s="48">
        <v>102.16116939659052</v>
      </c>
      <c r="G40" s="48">
        <f>G41+G42+G43</f>
        <v>23.223801017214502</v>
      </c>
      <c r="H40" s="48">
        <v>0.76011015793181824</v>
      </c>
      <c r="I40" s="122" t="s">
        <v>62</v>
      </c>
      <c r="J40" s="59"/>
      <c r="K40" s="3"/>
      <c r="L40" s="3"/>
    </row>
    <row r="41" spans="1:12" s="4" customFormat="1">
      <c r="A41" s="34"/>
      <c r="B41" s="26" t="s">
        <v>118</v>
      </c>
      <c r="C41" s="47">
        <v>11280686.622855695</v>
      </c>
      <c r="D41" s="47">
        <v>11135919.667182326</v>
      </c>
      <c r="E41" s="48">
        <v>96.832482201692969</v>
      </c>
      <c r="F41" s="48">
        <v>101.29999999999998</v>
      </c>
      <c r="G41" s="48">
        <f>C41/$C$29*100</f>
        <v>12.771388082980486</v>
      </c>
      <c r="H41" s="48">
        <v>-0.44140444232602954</v>
      </c>
      <c r="I41" s="125" t="s">
        <v>119</v>
      </c>
      <c r="J41" s="59"/>
      <c r="K41" s="3"/>
      <c r="L41" s="3"/>
    </row>
    <row r="42" spans="1:12" s="4" customFormat="1">
      <c r="A42" s="34"/>
      <c r="B42" s="26" t="s">
        <v>89</v>
      </c>
      <c r="C42" s="47">
        <v>8458652.6108770426</v>
      </c>
      <c r="D42" s="47">
        <v>8172611.2182386899</v>
      </c>
      <c r="E42" s="48">
        <v>113.07742316680218</v>
      </c>
      <c r="F42" s="48">
        <v>103.49999999999999</v>
      </c>
      <c r="G42" s="48">
        <f t="shared" ref="G42:G44" si="1">C42/$C$29*100</f>
        <v>9.5764326024047879</v>
      </c>
      <c r="H42" s="48">
        <v>1.1453012231647364</v>
      </c>
      <c r="I42" s="125" t="s">
        <v>90</v>
      </c>
      <c r="J42" s="59"/>
      <c r="K42" s="3"/>
      <c r="L42" s="3"/>
    </row>
    <row r="43" spans="1:12" s="4" customFormat="1">
      <c r="A43" s="34"/>
      <c r="B43" s="23" t="s">
        <v>91</v>
      </c>
      <c r="C43" s="47">
        <v>773734.18981130654</v>
      </c>
      <c r="D43" s="47">
        <v>770598.53792389634</v>
      </c>
      <c r="E43" s="48">
        <v>106.40565578660095</v>
      </c>
      <c r="F43" s="48">
        <v>100.40691121681311</v>
      </c>
      <c r="G43" s="48">
        <f t="shared" si="1"/>
        <v>0.87598033182922952</v>
      </c>
      <c r="H43" s="48">
        <v>5.6213377093114338E-2</v>
      </c>
      <c r="I43" s="125" t="s">
        <v>92</v>
      </c>
      <c r="J43" s="59"/>
      <c r="K43" s="3"/>
      <c r="L43" s="3"/>
    </row>
    <row r="44" spans="1:12" s="4" customFormat="1">
      <c r="A44" s="34"/>
      <c r="B44" s="22" t="s">
        <v>120</v>
      </c>
      <c r="C44" s="47">
        <v>3050542.2992554531</v>
      </c>
      <c r="D44" s="47">
        <v>3403257.740036197</v>
      </c>
      <c r="E44" s="56" t="s">
        <v>147</v>
      </c>
      <c r="F44" s="56" t="s">
        <v>147</v>
      </c>
      <c r="G44" s="48">
        <f t="shared" si="1"/>
        <v>3.4536603018829708</v>
      </c>
      <c r="H44" s="48">
        <v>-1.9069567608959572</v>
      </c>
      <c r="I44" s="122" t="s">
        <v>121</v>
      </c>
      <c r="J44" s="59"/>
      <c r="K44" s="3"/>
      <c r="L44" s="3"/>
    </row>
    <row r="45" spans="1:12" s="55" customFormat="1">
      <c r="A45" s="51"/>
      <c r="B45" s="27" t="s">
        <v>63</v>
      </c>
      <c r="C45" s="52">
        <v>-27094783.383684132</v>
      </c>
      <c r="D45" s="52">
        <v>-24670838.508825891</v>
      </c>
      <c r="E45" s="56" t="s">
        <v>147</v>
      </c>
      <c r="F45" s="56" t="s">
        <v>147</v>
      </c>
      <c r="G45" s="53">
        <f>G46-G49</f>
        <v>-30.675259865495853</v>
      </c>
      <c r="H45" s="53">
        <f>H46-H49</f>
        <v>1.2106792554081096</v>
      </c>
      <c r="I45" s="124" t="s">
        <v>64</v>
      </c>
      <c r="J45" s="59"/>
      <c r="K45" s="54"/>
      <c r="L45" s="54"/>
    </row>
    <row r="46" spans="1:12" s="4" customFormat="1">
      <c r="A46" s="34"/>
      <c r="B46" s="22" t="s">
        <v>65</v>
      </c>
      <c r="C46" s="47">
        <v>29766084.044232402</v>
      </c>
      <c r="D46" s="47">
        <v>28039107.177719548</v>
      </c>
      <c r="E46" s="48">
        <v>113.58127647158183</v>
      </c>
      <c r="F46" s="48">
        <v>106.15917210047667</v>
      </c>
      <c r="G46" s="48">
        <f>G47+G48</f>
        <v>33.699563133797049</v>
      </c>
      <c r="H46" s="48">
        <v>4.0626614839397472</v>
      </c>
      <c r="I46" s="122" t="s">
        <v>66</v>
      </c>
      <c r="J46" s="59"/>
      <c r="K46" s="3"/>
      <c r="L46" s="3"/>
    </row>
    <row r="47" spans="1:12" s="4" customFormat="1">
      <c r="A47" s="34"/>
      <c r="B47" s="26" t="s">
        <v>93</v>
      </c>
      <c r="C47" s="47">
        <v>13640541.580921361</v>
      </c>
      <c r="D47" s="47">
        <v>13137118.384799464</v>
      </c>
      <c r="E47" s="48">
        <v>121.56276533183205</v>
      </c>
      <c r="F47" s="48">
        <v>103.83206713509099</v>
      </c>
      <c r="G47" s="48">
        <f t="shared" ref="G47:G51" si="2">C47/$C$29*100</f>
        <v>15.443089238824909</v>
      </c>
      <c r="H47" s="48">
        <v>2.8236873630243036</v>
      </c>
      <c r="I47" s="125" t="s">
        <v>94</v>
      </c>
      <c r="J47" s="59"/>
      <c r="K47" s="3"/>
      <c r="L47" s="3"/>
    </row>
    <row r="48" spans="1:12" s="4" customFormat="1">
      <c r="A48" s="34"/>
      <c r="B48" s="26" t="s">
        <v>95</v>
      </c>
      <c r="C48" s="47">
        <v>16125542.463311041</v>
      </c>
      <c r="D48" s="47">
        <v>14901988.792920083</v>
      </c>
      <c r="E48" s="48">
        <v>107.36673665051923</v>
      </c>
      <c r="F48" s="48">
        <v>108.2106736717737</v>
      </c>
      <c r="G48" s="48">
        <f t="shared" si="2"/>
        <v>18.256473894972142</v>
      </c>
      <c r="H48" s="48">
        <v>1.2389741209154415</v>
      </c>
      <c r="I48" s="125" t="s">
        <v>96</v>
      </c>
      <c r="J48" s="59"/>
      <c r="K48" s="3"/>
      <c r="L48" s="3"/>
    </row>
    <row r="49" spans="1:17" s="4" customFormat="1">
      <c r="A49" s="34"/>
      <c r="B49" s="22" t="s">
        <v>67</v>
      </c>
      <c r="C49" s="47">
        <v>56860867.427916534</v>
      </c>
      <c r="D49" s="47">
        <v>52709945.686545439</v>
      </c>
      <c r="E49" s="48">
        <v>104.67390703602702</v>
      </c>
      <c r="F49" s="48">
        <v>107.87502564706806</v>
      </c>
      <c r="G49" s="48">
        <f>G50+G51</f>
        <v>64.374822999292903</v>
      </c>
      <c r="H49" s="48">
        <v>2.8519822285316376</v>
      </c>
      <c r="I49" s="122" t="s">
        <v>68</v>
      </c>
      <c r="J49" s="59"/>
      <c r="K49" s="3"/>
      <c r="L49" s="3"/>
    </row>
    <row r="50" spans="1:17" s="4" customFormat="1">
      <c r="A50" s="34"/>
      <c r="B50" s="26" t="s">
        <v>93</v>
      </c>
      <c r="C50" s="47">
        <v>47142056.870160572</v>
      </c>
      <c r="D50" s="47">
        <v>43249593.458862908</v>
      </c>
      <c r="E50" s="48">
        <v>106.09427017616791</v>
      </c>
      <c r="F50" s="48">
        <v>109.00000000000001</v>
      </c>
      <c r="G50" s="48">
        <f t="shared" si="2"/>
        <v>53.371707188364724</v>
      </c>
      <c r="H50" s="48">
        <v>3.0104014519855995</v>
      </c>
      <c r="I50" s="125" t="s">
        <v>94</v>
      </c>
      <c r="J50" s="59"/>
      <c r="K50" s="3"/>
      <c r="L50" s="3"/>
    </row>
    <row r="51" spans="1:17" s="4" customFormat="1" ht="16.5" thickBot="1">
      <c r="A51" s="36"/>
      <c r="B51" s="28" t="s">
        <v>95</v>
      </c>
      <c r="C51" s="49">
        <v>9718810.5577559639</v>
      </c>
      <c r="D51" s="49">
        <v>9460352.227682529</v>
      </c>
      <c r="E51" s="50">
        <v>98.636901054166174</v>
      </c>
      <c r="F51" s="50">
        <v>102.73201593189252</v>
      </c>
      <c r="G51" s="50">
        <f t="shared" si="2"/>
        <v>11.003115810928175</v>
      </c>
      <c r="H51" s="50">
        <v>-0.15841922345396425</v>
      </c>
      <c r="I51" s="126" t="s">
        <v>96</v>
      </c>
      <c r="J51" s="59"/>
      <c r="K51" s="3"/>
      <c r="L51" s="3"/>
    </row>
    <row r="52" spans="1:17" s="4" customFormat="1">
      <c r="B52" s="37"/>
      <c r="C52" s="38"/>
      <c r="D52" s="38"/>
      <c r="E52" s="39"/>
      <c r="F52" s="39"/>
      <c r="G52" s="39"/>
      <c r="H52" s="39"/>
      <c r="I52" s="40"/>
      <c r="J52" s="3"/>
      <c r="K52" s="3"/>
      <c r="L52" s="3"/>
    </row>
    <row r="53" spans="1:17" s="41" customFormat="1" ht="12">
      <c r="A53" s="41" t="s">
        <v>108</v>
      </c>
      <c r="C53" s="42"/>
      <c r="G53" s="42"/>
      <c r="H53" s="42"/>
      <c r="L53" s="42"/>
      <c r="M53" s="43"/>
      <c r="N53" s="43"/>
      <c r="O53" s="43"/>
      <c r="P53" s="43"/>
      <c r="Q53" s="43"/>
    </row>
    <row r="54" spans="1:17" s="41" customFormat="1" ht="12">
      <c r="A54" s="44" t="s">
        <v>109</v>
      </c>
      <c r="C54" s="42"/>
      <c r="G54" s="42"/>
      <c r="H54" s="42"/>
      <c r="L54" s="42"/>
      <c r="M54" s="45"/>
      <c r="N54" s="45"/>
      <c r="O54" s="45"/>
      <c r="P54" s="45"/>
      <c r="Q54" s="43"/>
    </row>
    <row r="55" spans="1:17" s="41" customFormat="1" ht="12">
      <c r="A55" s="41" t="s">
        <v>110</v>
      </c>
      <c r="B55" s="41" t="s">
        <v>111</v>
      </c>
      <c r="C55" s="42"/>
      <c r="G55" s="42"/>
      <c r="H55" s="42"/>
      <c r="L55" s="42"/>
      <c r="M55" s="45"/>
      <c r="N55" s="45"/>
      <c r="O55" s="45"/>
      <c r="P55" s="45"/>
      <c r="Q55" s="43"/>
    </row>
    <row r="56" spans="1:17" s="41" customFormat="1" ht="12">
      <c r="B56" s="41" t="s">
        <v>112</v>
      </c>
      <c r="C56" s="42"/>
      <c r="G56" s="42"/>
      <c r="H56" s="42"/>
      <c r="L56" s="42"/>
      <c r="M56" s="45"/>
      <c r="N56" s="45"/>
      <c r="O56" s="45"/>
      <c r="P56" s="45"/>
      <c r="Q56" s="43"/>
    </row>
    <row r="57" spans="1:17" s="41" customFormat="1" ht="12">
      <c r="C57" s="42"/>
      <c r="G57" s="42"/>
      <c r="H57" s="42"/>
      <c r="L57" s="42"/>
      <c r="M57" s="45"/>
      <c r="N57" s="45"/>
      <c r="O57" s="45"/>
      <c r="P57" s="45"/>
      <c r="Q57" s="43"/>
    </row>
    <row r="58" spans="1:17" s="41" customFormat="1" ht="12">
      <c r="B58" s="41" t="s">
        <v>113</v>
      </c>
      <c r="C58" s="42"/>
      <c r="G58" s="42"/>
      <c r="H58" s="42"/>
      <c r="L58" s="42"/>
      <c r="M58" s="43"/>
      <c r="N58" s="43"/>
      <c r="O58" s="43"/>
      <c r="P58" s="43"/>
      <c r="Q58" s="43"/>
    </row>
    <row r="59" spans="1:17" s="41" customFormat="1" ht="12">
      <c r="B59" s="41" t="s">
        <v>69</v>
      </c>
      <c r="C59" s="42"/>
      <c r="G59" s="42"/>
      <c r="H59" s="42"/>
      <c r="L59" s="42"/>
      <c r="M59" s="43"/>
      <c r="N59" s="43"/>
      <c r="O59" s="43"/>
      <c r="P59" s="43"/>
      <c r="Q59" s="43"/>
    </row>
    <row r="61" spans="1:17">
      <c r="A61" s="41"/>
      <c r="B61" s="41"/>
    </row>
  </sheetData>
  <mergeCells count="6">
    <mergeCell ref="A30:I30"/>
    <mergeCell ref="C4:H4"/>
    <mergeCell ref="I4:I5"/>
    <mergeCell ref="A1:I1"/>
    <mergeCell ref="A2:I2"/>
    <mergeCell ref="A6:I6"/>
  </mergeCells>
  <printOptions horizontalCentered="1" verticalCentered="1"/>
  <pageMargins left="0" right="0" top="0.33" bottom="0.81" header="0.28000000000000003" footer="0.3"/>
  <pageSetup paperSize="9" scale="52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9572-106B-4F4D-80E6-C45587E15650}">
  <sheetPr>
    <tabColor theme="4" tint="0.59999389629810485"/>
    <pageSetUpPr fitToPage="1"/>
  </sheetPr>
  <dimension ref="A1:P35"/>
  <sheetViews>
    <sheetView zoomScale="80" zoomScaleNormal="80" zoomScaleSheetLayoutView="70" workbookViewId="0">
      <pane ySplit="6" topLeftCell="A7" activePane="bottomLeft" state="frozen"/>
      <selection activeCell="D8" sqref="D8"/>
      <selection pane="bottomLeft" activeCell="C6" sqref="C6"/>
    </sheetView>
  </sheetViews>
  <sheetFormatPr defaultColWidth="9.140625" defaultRowHeight="15.75"/>
  <cols>
    <col min="1" max="1" width="10.140625" style="1" customWidth="1"/>
    <col min="2" max="2" width="60.85546875" style="7" customWidth="1"/>
    <col min="3" max="3" width="16.7109375" style="1" customWidth="1"/>
    <col min="4" max="4" width="19.5703125" style="1" customWidth="1"/>
    <col min="5" max="6" width="21.7109375" style="1" customWidth="1"/>
    <col min="7" max="7" width="60.85546875" style="7" customWidth="1"/>
    <col min="8" max="9" width="10.7109375" style="1" bestFit="1" customWidth="1"/>
    <col min="10" max="16384" width="9.140625" style="1"/>
  </cols>
  <sheetData>
    <row r="1" spans="1:11" ht="18.75">
      <c r="A1" s="157" t="s">
        <v>130</v>
      </c>
      <c r="B1" s="157"/>
      <c r="C1" s="157"/>
      <c r="D1" s="157"/>
      <c r="E1" s="157"/>
      <c r="F1" s="157"/>
      <c r="G1" s="157"/>
    </row>
    <row r="2" spans="1:11" ht="18.75">
      <c r="A2" s="158" t="s">
        <v>131</v>
      </c>
      <c r="B2" s="158"/>
      <c r="C2" s="158"/>
      <c r="D2" s="158"/>
      <c r="E2" s="158"/>
      <c r="F2" s="158"/>
      <c r="G2" s="158"/>
    </row>
    <row r="3" spans="1:11">
      <c r="A3" s="157"/>
      <c r="B3" s="157"/>
      <c r="C3" s="157"/>
      <c r="D3" s="157"/>
      <c r="E3" s="157"/>
      <c r="F3" s="157"/>
      <c r="G3" s="157"/>
    </row>
    <row r="4" spans="1:11" ht="16.5" thickBot="1">
      <c r="A4" s="2"/>
      <c r="B4" s="2"/>
      <c r="C4" s="2"/>
      <c r="D4" s="2"/>
      <c r="E4" s="2"/>
      <c r="F4" s="2"/>
      <c r="G4" s="2"/>
    </row>
    <row r="5" spans="1:11" ht="21.75" customHeight="1">
      <c r="A5" s="161" t="s">
        <v>123</v>
      </c>
      <c r="B5" s="159" t="s">
        <v>116</v>
      </c>
      <c r="C5" s="147" t="s">
        <v>149</v>
      </c>
      <c r="D5" s="147"/>
      <c r="E5" s="147"/>
      <c r="F5" s="147"/>
      <c r="G5" s="155" t="s">
        <v>117</v>
      </c>
    </row>
    <row r="6" spans="1:11" ht="111" thickBot="1">
      <c r="A6" s="162"/>
      <c r="B6" s="160"/>
      <c r="C6" s="19" t="s">
        <v>107</v>
      </c>
      <c r="D6" s="19" t="s">
        <v>122</v>
      </c>
      <c r="E6" s="20" t="s">
        <v>133</v>
      </c>
      <c r="F6" s="20" t="s">
        <v>134</v>
      </c>
      <c r="G6" s="156"/>
    </row>
    <row r="7" spans="1:11">
      <c r="A7" s="5" t="s">
        <v>1</v>
      </c>
      <c r="B7" s="8" t="s">
        <v>2</v>
      </c>
      <c r="C7" s="16">
        <v>7246859.483982116</v>
      </c>
      <c r="D7" s="16">
        <v>7145281.9828071836</v>
      </c>
      <c r="E7" s="18">
        <v>109.09312265258457</v>
      </c>
      <c r="F7" s="18">
        <v>101.42160241428324</v>
      </c>
      <c r="G7" s="10" t="s">
        <v>3</v>
      </c>
      <c r="H7" s="3"/>
      <c r="I7" s="59"/>
      <c r="J7" s="72"/>
      <c r="K7" s="72"/>
    </row>
    <row r="8" spans="1:11">
      <c r="A8" s="5" t="s">
        <v>4</v>
      </c>
      <c r="B8" s="8" t="s">
        <v>5</v>
      </c>
      <c r="C8" s="16">
        <v>590741.75116696267</v>
      </c>
      <c r="D8" s="16">
        <v>552428.87388281687</v>
      </c>
      <c r="E8" s="18">
        <v>116.14907172218076</v>
      </c>
      <c r="F8" s="18">
        <v>106.9353502496817</v>
      </c>
      <c r="G8" s="10" t="s">
        <v>6</v>
      </c>
      <c r="H8" s="3"/>
      <c r="I8" s="59"/>
      <c r="J8" s="72"/>
      <c r="K8" s="72"/>
    </row>
    <row r="9" spans="1:11">
      <c r="A9" s="5" t="s">
        <v>7</v>
      </c>
      <c r="B9" s="8" t="s">
        <v>8</v>
      </c>
      <c r="C9" s="16">
        <v>22782721.354019724</v>
      </c>
      <c r="D9" s="16">
        <v>22442901.396183871</v>
      </c>
      <c r="E9" s="18">
        <v>108.19034186939922</v>
      </c>
      <c r="F9" s="18">
        <v>101.51415341464556</v>
      </c>
      <c r="G9" s="10" t="s">
        <v>9</v>
      </c>
      <c r="H9" s="3"/>
      <c r="I9" s="59"/>
      <c r="J9" s="72"/>
      <c r="K9" s="72"/>
    </row>
    <row r="10" spans="1:11" ht="33" customHeight="1">
      <c r="A10" s="5" t="s">
        <v>10</v>
      </c>
      <c r="B10" s="8" t="s">
        <v>11</v>
      </c>
      <c r="C10" s="16">
        <v>3312899.2817571959</v>
      </c>
      <c r="D10" s="16">
        <v>3773178.2653842899</v>
      </c>
      <c r="E10" s="18">
        <v>121.47762333248313</v>
      </c>
      <c r="F10" s="18">
        <v>87.801292405138582</v>
      </c>
      <c r="G10" s="10" t="s">
        <v>104</v>
      </c>
      <c r="H10" s="3"/>
      <c r="I10" s="59"/>
      <c r="J10" s="72"/>
      <c r="K10" s="72"/>
    </row>
    <row r="11" spans="1:11" ht="31.5">
      <c r="A11" s="5" t="s">
        <v>12</v>
      </c>
      <c r="B11" s="8" t="s">
        <v>13</v>
      </c>
      <c r="C11" s="16">
        <v>915562.31639042799</v>
      </c>
      <c r="D11" s="16">
        <v>842776.952145527</v>
      </c>
      <c r="E11" s="18">
        <v>87.921496473322279</v>
      </c>
      <c r="F11" s="18">
        <v>108.63637336778199</v>
      </c>
      <c r="G11" s="10" t="s">
        <v>14</v>
      </c>
      <c r="H11" s="3"/>
      <c r="I11" s="59"/>
      <c r="J11" s="72"/>
      <c r="K11" s="72"/>
    </row>
    <row r="12" spans="1:11">
      <c r="A12" s="5" t="s">
        <v>15</v>
      </c>
      <c r="B12" s="8" t="s">
        <v>16</v>
      </c>
      <c r="C12" s="16">
        <v>16220622.006118875</v>
      </c>
      <c r="D12" s="16">
        <v>16012460.025783688</v>
      </c>
      <c r="E12" s="18">
        <v>93.457989396371318</v>
      </c>
      <c r="F12" s="18">
        <v>101.29999999999998</v>
      </c>
      <c r="G12" s="10" t="s">
        <v>17</v>
      </c>
      <c r="H12" s="3"/>
      <c r="I12" s="59"/>
      <c r="J12" s="72"/>
      <c r="K12" s="72"/>
    </row>
    <row r="13" spans="1:11" ht="48" customHeight="1">
      <c r="A13" s="5" t="s">
        <v>18</v>
      </c>
      <c r="B13" s="8" t="s">
        <v>19</v>
      </c>
      <c r="C13" s="16">
        <v>23269288.232105248</v>
      </c>
      <c r="D13" s="16">
        <v>21906674.774935633</v>
      </c>
      <c r="E13" s="18">
        <v>98.562874985345289</v>
      </c>
      <c r="F13" s="18">
        <v>106.22008347304556</v>
      </c>
      <c r="G13" s="10" t="s">
        <v>20</v>
      </c>
      <c r="H13" s="3"/>
      <c r="I13" s="59"/>
      <c r="J13" s="72"/>
      <c r="K13" s="72"/>
    </row>
    <row r="14" spans="1:11">
      <c r="A14" s="5" t="s">
        <v>21</v>
      </c>
      <c r="B14" s="8" t="s">
        <v>22</v>
      </c>
      <c r="C14" s="16">
        <v>10122187.700753635</v>
      </c>
      <c r="D14" s="16">
        <v>8462996.8997351266</v>
      </c>
      <c r="E14" s="18">
        <v>94.499266724007711</v>
      </c>
      <c r="F14" s="18">
        <v>119.60523938122248</v>
      </c>
      <c r="G14" s="10" t="s">
        <v>23</v>
      </c>
      <c r="H14" s="3"/>
      <c r="I14" s="59"/>
      <c r="J14" s="72"/>
      <c r="K14" s="72"/>
    </row>
    <row r="15" spans="1:11" ht="15.75" customHeight="1">
      <c r="A15" s="5" t="s">
        <v>24</v>
      </c>
      <c r="B15" s="8" t="s">
        <v>97</v>
      </c>
      <c r="C15" s="16">
        <v>3531174.3295301497</v>
      </c>
      <c r="D15" s="16">
        <v>3254811.6969943149</v>
      </c>
      <c r="E15" s="18">
        <v>101.56139823089431</v>
      </c>
      <c r="F15" s="18">
        <v>108.49089465885366</v>
      </c>
      <c r="G15" s="10" t="s">
        <v>99</v>
      </c>
      <c r="H15" s="3"/>
      <c r="I15" s="59"/>
      <c r="J15" s="72"/>
      <c r="K15" s="72"/>
    </row>
    <row r="16" spans="1:11">
      <c r="A16" s="5" t="s">
        <v>25</v>
      </c>
      <c r="B16" s="8" t="s">
        <v>26</v>
      </c>
      <c r="C16" s="16">
        <v>7741139.9253198318</v>
      </c>
      <c r="D16" s="16">
        <v>7533201.4567810344</v>
      </c>
      <c r="E16" s="18">
        <v>91.963422320296502</v>
      </c>
      <c r="F16" s="18">
        <v>102.76029347856641</v>
      </c>
      <c r="G16" s="10" t="s">
        <v>27</v>
      </c>
      <c r="H16" s="3"/>
      <c r="I16" s="59"/>
      <c r="J16" s="72"/>
      <c r="K16" s="72"/>
    </row>
    <row r="17" spans="1:16">
      <c r="A17" s="5" t="s">
        <v>28</v>
      </c>
      <c r="B17" s="8" t="s">
        <v>103</v>
      </c>
      <c r="C17" s="16">
        <v>4247937.4246519953</v>
      </c>
      <c r="D17" s="16">
        <v>4561853.1465619188</v>
      </c>
      <c r="E17" s="18">
        <v>106.91888360049502</v>
      </c>
      <c r="F17" s="18">
        <v>93.118679803480546</v>
      </c>
      <c r="G17" s="10" t="s">
        <v>102</v>
      </c>
      <c r="H17" s="3"/>
      <c r="I17" s="59"/>
      <c r="J17" s="72"/>
      <c r="K17" s="72"/>
    </row>
    <row r="18" spans="1:16">
      <c r="A18" s="5" t="s">
        <v>29</v>
      </c>
      <c r="B18" s="8" t="s">
        <v>30</v>
      </c>
      <c r="C18" s="16">
        <v>9084131.9609010052</v>
      </c>
      <c r="D18" s="16">
        <v>8196136.1940169949</v>
      </c>
      <c r="E18" s="18">
        <v>99.081551475772869</v>
      </c>
      <c r="F18" s="18">
        <v>110.83432175678374</v>
      </c>
      <c r="G18" s="10" t="s">
        <v>31</v>
      </c>
      <c r="H18" s="3"/>
      <c r="I18" s="59"/>
      <c r="J18" s="72"/>
      <c r="K18" s="72"/>
    </row>
    <row r="19" spans="1:16" ht="31.5">
      <c r="A19" s="5" t="s">
        <v>32</v>
      </c>
      <c r="B19" s="8" t="s">
        <v>33</v>
      </c>
      <c r="C19" s="16">
        <v>2976682.7059578272</v>
      </c>
      <c r="D19" s="16">
        <v>2583962.9950309289</v>
      </c>
      <c r="E19" s="18">
        <v>104.0843830241261</v>
      </c>
      <c r="F19" s="18">
        <v>115.19834888046444</v>
      </c>
      <c r="G19" s="10" t="s">
        <v>34</v>
      </c>
      <c r="H19" s="3"/>
      <c r="I19" s="59"/>
      <c r="J19" s="72"/>
      <c r="K19" s="72"/>
    </row>
    <row r="20" spans="1:16" ht="31.5">
      <c r="A20" s="5" t="s">
        <v>35</v>
      </c>
      <c r="B20" s="8" t="s">
        <v>36</v>
      </c>
      <c r="C20" s="16">
        <v>4071484.6350894938</v>
      </c>
      <c r="D20" s="16">
        <v>3755268.0449450677</v>
      </c>
      <c r="E20" s="18">
        <v>108.37155293381426</v>
      </c>
      <c r="F20" s="18">
        <v>108.42061302574879</v>
      </c>
      <c r="G20" s="10" t="s">
        <v>37</v>
      </c>
      <c r="H20" s="3"/>
      <c r="I20" s="59"/>
      <c r="J20" s="72"/>
      <c r="K20" s="72"/>
    </row>
    <row r="21" spans="1:16" ht="31.5">
      <c r="A21" s="5" t="s">
        <v>38</v>
      </c>
      <c r="B21" s="8" t="s">
        <v>39</v>
      </c>
      <c r="C21" s="16">
        <v>5110232.4475612855</v>
      </c>
      <c r="D21" s="16">
        <v>4604327.7348929755</v>
      </c>
      <c r="E21" s="18">
        <v>104.12832154457845</v>
      </c>
      <c r="F21" s="18">
        <v>110.98759127927434</v>
      </c>
      <c r="G21" s="10" t="s">
        <v>40</v>
      </c>
      <c r="H21" s="3"/>
      <c r="I21" s="59"/>
      <c r="J21" s="72"/>
      <c r="K21" s="72"/>
    </row>
    <row r="22" spans="1:16">
      <c r="A22" s="5" t="s">
        <v>41</v>
      </c>
      <c r="B22" s="8" t="s">
        <v>42</v>
      </c>
      <c r="C22" s="16">
        <v>7659192.7228809623</v>
      </c>
      <c r="D22" s="16">
        <v>7111520.4764738083</v>
      </c>
      <c r="E22" s="18">
        <v>95.343852442077718</v>
      </c>
      <c r="F22" s="18">
        <v>107.70119763022483</v>
      </c>
      <c r="G22" s="10" t="s">
        <v>43</v>
      </c>
      <c r="H22" s="3"/>
      <c r="I22" s="59"/>
      <c r="J22" s="72"/>
      <c r="K22" s="72"/>
    </row>
    <row r="23" spans="1:16">
      <c r="A23" s="5" t="s">
        <v>44</v>
      </c>
      <c r="B23" s="8" t="s">
        <v>45</v>
      </c>
      <c r="C23" s="16">
        <v>7653572.2887289356</v>
      </c>
      <c r="D23" s="16">
        <v>7465123.6456373325</v>
      </c>
      <c r="E23" s="18">
        <v>101.87550003290184</v>
      </c>
      <c r="F23" s="18">
        <v>102.52438743197152</v>
      </c>
      <c r="G23" s="10" t="s">
        <v>46</v>
      </c>
      <c r="H23" s="3"/>
      <c r="I23" s="59"/>
      <c r="J23" s="72"/>
      <c r="K23" s="72"/>
    </row>
    <row r="24" spans="1:16">
      <c r="A24" s="5" t="s">
        <v>47</v>
      </c>
      <c r="B24" s="8" t="s">
        <v>105</v>
      </c>
      <c r="C24" s="16">
        <v>1683598.6660553147</v>
      </c>
      <c r="D24" s="16">
        <v>1572839.2961716335</v>
      </c>
      <c r="E24" s="18">
        <v>94.864411894219941</v>
      </c>
      <c r="F24" s="18">
        <v>107.04200169421472</v>
      </c>
      <c r="G24" s="10" t="s">
        <v>101</v>
      </c>
      <c r="H24" s="3"/>
      <c r="I24" s="59"/>
      <c r="J24" s="72"/>
      <c r="K24" s="72"/>
    </row>
    <row r="25" spans="1:16">
      <c r="A25" s="5" t="s">
        <v>48</v>
      </c>
      <c r="B25" s="8" t="s">
        <v>49</v>
      </c>
      <c r="C25" s="16">
        <v>1775780.7260173112</v>
      </c>
      <c r="D25" s="16">
        <v>1661287.5712468554</v>
      </c>
      <c r="E25" s="18">
        <v>88.462071587931973</v>
      </c>
      <c r="F25" s="18">
        <v>106.89183238062299</v>
      </c>
      <c r="G25" s="10" t="s">
        <v>50</v>
      </c>
      <c r="H25" s="3"/>
      <c r="I25" s="59"/>
      <c r="J25" s="72"/>
      <c r="K25" s="72"/>
    </row>
    <row r="26" spans="1:16" ht="47.25">
      <c r="A26" s="5" t="s">
        <v>51</v>
      </c>
      <c r="B26" s="8" t="s">
        <v>106</v>
      </c>
      <c r="C26" s="16">
        <v>306859.70340000006</v>
      </c>
      <c r="D26" s="16">
        <v>287074.97716694273</v>
      </c>
      <c r="E26" s="18">
        <v>211.23203055667469</v>
      </c>
      <c r="F26" s="18">
        <v>106.89183238062296</v>
      </c>
      <c r="G26" s="10" t="s">
        <v>52</v>
      </c>
      <c r="H26" s="3"/>
      <c r="I26" s="59"/>
      <c r="J26" s="72"/>
      <c r="K26" s="72"/>
    </row>
    <row r="27" spans="1:16" s="4" customFormat="1" ht="16.5" thickBot="1">
      <c r="A27" s="11"/>
      <c r="B27" s="14" t="s">
        <v>72</v>
      </c>
      <c r="C27" s="12">
        <v>140302669.66238824</v>
      </c>
      <c r="D27" s="12">
        <v>133726106.40677793</v>
      </c>
      <c r="E27" s="17">
        <v>100.61263750627923</v>
      </c>
      <c r="F27" s="17">
        <v>104.91793519778795</v>
      </c>
      <c r="G27" s="15" t="s">
        <v>73</v>
      </c>
      <c r="H27" s="3"/>
      <c r="I27" s="59"/>
      <c r="J27" s="72"/>
      <c r="K27" s="72"/>
    </row>
    <row r="28" spans="1:16">
      <c r="C28" s="3"/>
      <c r="D28" s="3"/>
      <c r="E28" s="6"/>
      <c r="F28" s="6"/>
    </row>
    <row r="29" spans="1:16" s="41" customFormat="1" ht="12">
      <c r="A29" s="41" t="s">
        <v>108</v>
      </c>
      <c r="C29" s="42"/>
      <c r="G29" s="42"/>
      <c r="K29" s="42"/>
      <c r="L29" s="43"/>
      <c r="M29" s="43"/>
      <c r="N29" s="43"/>
      <c r="O29" s="43"/>
      <c r="P29" s="43"/>
    </row>
    <row r="30" spans="1:16" s="41" customFormat="1" ht="12">
      <c r="A30" s="44" t="s">
        <v>109</v>
      </c>
      <c r="C30" s="42"/>
      <c r="G30" s="42"/>
      <c r="K30" s="42"/>
      <c r="L30" s="45"/>
      <c r="M30" s="45"/>
      <c r="N30" s="45"/>
      <c r="O30" s="45"/>
      <c r="P30" s="43"/>
    </row>
    <row r="31" spans="1:16" s="41" customFormat="1" ht="12">
      <c r="A31" s="41" t="s">
        <v>110</v>
      </c>
      <c r="B31" s="41" t="s">
        <v>111</v>
      </c>
      <c r="C31" s="42"/>
      <c r="G31" s="42"/>
      <c r="K31" s="42"/>
      <c r="L31" s="45"/>
      <c r="M31" s="45"/>
      <c r="N31" s="45"/>
      <c r="O31" s="45"/>
      <c r="P31" s="43"/>
    </row>
    <row r="32" spans="1:16" s="41" customFormat="1" ht="12">
      <c r="B32" s="41" t="s">
        <v>112</v>
      </c>
      <c r="C32" s="42"/>
      <c r="G32" s="42"/>
      <c r="K32" s="42"/>
      <c r="L32" s="45"/>
      <c r="M32" s="45"/>
      <c r="N32" s="45"/>
      <c r="O32" s="45"/>
      <c r="P32" s="43"/>
    </row>
    <row r="33" spans="2:16" s="41" customFormat="1" ht="12">
      <c r="C33" s="42"/>
      <c r="G33" s="42"/>
      <c r="K33" s="42"/>
      <c r="L33" s="45"/>
      <c r="M33" s="45"/>
      <c r="N33" s="45"/>
      <c r="O33" s="45"/>
      <c r="P33" s="43"/>
    </row>
    <row r="34" spans="2:16" s="41" customFormat="1" ht="12">
      <c r="B34" s="41" t="s">
        <v>113</v>
      </c>
      <c r="C34" s="42"/>
      <c r="G34" s="42"/>
      <c r="K34" s="42"/>
      <c r="L34" s="43"/>
      <c r="M34" s="43"/>
      <c r="N34" s="43"/>
      <c r="O34" s="43"/>
      <c r="P34" s="43"/>
    </row>
    <row r="35" spans="2:16" s="41" customFormat="1" ht="12">
      <c r="B35" s="41" t="s">
        <v>69</v>
      </c>
      <c r="C35" s="42"/>
      <c r="G35" s="42"/>
      <c r="K35" s="42"/>
      <c r="L35" s="43"/>
      <c r="M35" s="43"/>
      <c r="N35" s="43"/>
      <c r="O35" s="43"/>
      <c r="P35" s="43"/>
    </row>
  </sheetData>
  <mergeCells count="7">
    <mergeCell ref="C5:F5"/>
    <mergeCell ref="G5:G6"/>
    <mergeCell ref="A1:G1"/>
    <mergeCell ref="A2:G2"/>
    <mergeCell ref="A3:G3"/>
    <mergeCell ref="B5:B6"/>
    <mergeCell ref="A5:A6"/>
  </mergeCells>
  <printOptions horizontalCentered="1" verticalCentered="1"/>
  <pageMargins left="0.45" right="0.45" top="0.33" bottom="0.81" header="0.28000000000000003" footer="0.3"/>
  <pageSetup paperSize="9" scale="69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55B8-CDA6-4C5F-97A6-F96DE806DDF7}">
  <sheetPr>
    <tabColor theme="4" tint="0.59999389629810485"/>
    <pageSetUpPr fitToPage="1"/>
  </sheetPr>
  <dimension ref="A1:Q35"/>
  <sheetViews>
    <sheetView zoomScale="70" zoomScaleNormal="70" workbookViewId="0">
      <pane ySplit="6" topLeftCell="A7" activePane="bottomLeft" state="frozen"/>
      <selection activeCell="D8" sqref="D8"/>
      <selection pane="bottomLeft" activeCell="E18" sqref="E18"/>
    </sheetView>
  </sheetViews>
  <sheetFormatPr defaultColWidth="9.140625" defaultRowHeight="15.75"/>
  <cols>
    <col min="1" max="1" width="11" style="1" customWidth="1"/>
    <col min="2" max="2" width="38.28515625" style="7" customWidth="1"/>
    <col min="3" max="4" width="24.5703125" style="1" customWidth="1"/>
    <col min="5" max="6" width="21.7109375" style="1" customWidth="1"/>
    <col min="7" max="7" width="60.85546875" style="7" customWidth="1"/>
    <col min="8" max="8" width="9.140625" style="1" customWidth="1"/>
    <col min="9" max="16384" width="9.140625" style="1"/>
  </cols>
  <sheetData>
    <row r="1" spans="1:11" ht="18.75">
      <c r="A1" s="157" t="s">
        <v>135</v>
      </c>
      <c r="B1" s="157"/>
      <c r="C1" s="157"/>
      <c r="D1" s="157"/>
      <c r="E1" s="157"/>
      <c r="F1" s="157"/>
      <c r="G1" s="157"/>
    </row>
    <row r="2" spans="1:11" ht="18.75">
      <c r="A2" s="158" t="s">
        <v>136</v>
      </c>
      <c r="B2" s="158"/>
      <c r="C2" s="158"/>
      <c r="D2" s="158"/>
      <c r="E2" s="158"/>
      <c r="F2" s="158"/>
      <c r="G2" s="158"/>
    </row>
    <row r="3" spans="1:11">
      <c r="A3" s="157"/>
      <c r="B3" s="157"/>
      <c r="C3" s="157"/>
      <c r="D3" s="157"/>
      <c r="E3" s="157"/>
      <c r="F3" s="157"/>
      <c r="G3" s="157"/>
    </row>
    <row r="4" spans="1:11" ht="16.5" thickBot="1">
      <c r="A4" s="2"/>
      <c r="B4" s="2"/>
      <c r="C4" s="2"/>
      <c r="D4" s="2"/>
      <c r="E4" s="2"/>
      <c r="F4" s="2"/>
      <c r="G4" s="2"/>
    </row>
    <row r="5" spans="1:11">
      <c r="A5" s="161" t="s">
        <v>123</v>
      </c>
      <c r="B5" s="159" t="s">
        <v>116</v>
      </c>
      <c r="C5" s="147" t="s">
        <v>132</v>
      </c>
      <c r="D5" s="147"/>
      <c r="E5" s="147"/>
      <c r="F5" s="147"/>
      <c r="G5" s="155" t="s">
        <v>117</v>
      </c>
    </row>
    <row r="6" spans="1:11" ht="93.6" customHeight="1" thickBot="1">
      <c r="A6" s="162"/>
      <c r="B6" s="160"/>
      <c r="C6" s="19" t="s">
        <v>107</v>
      </c>
      <c r="D6" s="19" t="s">
        <v>122</v>
      </c>
      <c r="E6" s="20" t="s">
        <v>133</v>
      </c>
      <c r="F6" s="20" t="s">
        <v>137</v>
      </c>
      <c r="G6" s="156"/>
    </row>
    <row r="7" spans="1:11">
      <c r="A7" s="5" t="s">
        <v>1</v>
      </c>
      <c r="B7" s="8" t="s">
        <v>2</v>
      </c>
      <c r="C7" s="16">
        <v>3470717.6309218383</v>
      </c>
      <c r="D7" s="16">
        <v>3213616.906800854</v>
      </c>
      <c r="E7" s="18">
        <v>108.7478921490749</v>
      </c>
      <c r="F7" s="18">
        <v>108.00035385602098</v>
      </c>
      <c r="G7" s="10" t="s">
        <v>3</v>
      </c>
      <c r="H7" s="3"/>
      <c r="I7" s="3"/>
      <c r="J7" s="3"/>
      <c r="K7" s="3"/>
    </row>
    <row r="8" spans="1:11">
      <c r="A8" s="5" t="s">
        <v>4</v>
      </c>
      <c r="B8" s="8" t="s">
        <v>5</v>
      </c>
      <c r="C8" s="16">
        <v>263127.11741383967</v>
      </c>
      <c r="D8" s="16">
        <v>237894.14903684673</v>
      </c>
      <c r="E8" s="18">
        <v>116.30339493709528</v>
      </c>
      <c r="F8" s="18">
        <v>110.60680495050119</v>
      </c>
      <c r="G8" s="10" t="s">
        <v>6</v>
      </c>
      <c r="H8" s="3"/>
      <c r="I8" s="3"/>
      <c r="J8" s="3"/>
      <c r="K8" s="3"/>
    </row>
    <row r="9" spans="1:11">
      <c r="A9" s="5" t="s">
        <v>7</v>
      </c>
      <c r="B9" s="8" t="s">
        <v>8</v>
      </c>
      <c r="C9" s="16">
        <v>15436929.229072258</v>
      </c>
      <c r="D9" s="16">
        <v>15400303.091401299</v>
      </c>
      <c r="E9" s="18">
        <v>108.88769949677113</v>
      </c>
      <c r="F9" s="18">
        <v>100.23782738205594</v>
      </c>
      <c r="G9" s="10" t="s">
        <v>9</v>
      </c>
      <c r="H9" s="3"/>
      <c r="I9" s="3"/>
      <c r="J9" s="3"/>
      <c r="K9" s="3"/>
    </row>
    <row r="10" spans="1:11" ht="36" customHeight="1">
      <c r="A10" s="5" t="s">
        <v>10</v>
      </c>
      <c r="B10" s="8" t="s">
        <v>11</v>
      </c>
      <c r="C10" s="16">
        <v>2131482.8678180845</v>
      </c>
      <c r="D10" s="16">
        <v>2429691.6473097615</v>
      </c>
      <c r="E10" s="18">
        <v>121.77519643700055</v>
      </c>
      <c r="F10" s="18">
        <v>87.726476327896833</v>
      </c>
      <c r="G10" s="10" t="s">
        <v>104</v>
      </c>
      <c r="H10" s="3"/>
      <c r="I10" s="3"/>
      <c r="J10" s="3"/>
      <c r="K10" s="3"/>
    </row>
    <row r="11" spans="1:11" ht="47.25">
      <c r="A11" s="5" t="s">
        <v>12</v>
      </c>
      <c r="B11" s="8" t="s">
        <v>13</v>
      </c>
      <c r="C11" s="16">
        <v>361405.64075808402</v>
      </c>
      <c r="D11" s="16">
        <v>338475.06290559249</v>
      </c>
      <c r="E11" s="18">
        <v>90.68806666533419</v>
      </c>
      <c r="F11" s="18">
        <v>106.77467275008301</v>
      </c>
      <c r="G11" s="10" t="s">
        <v>14</v>
      </c>
      <c r="H11" s="3"/>
      <c r="I11" s="3"/>
      <c r="J11" s="3"/>
      <c r="K11" s="3"/>
    </row>
    <row r="12" spans="1:11">
      <c r="A12" s="5" t="s">
        <v>15</v>
      </c>
      <c r="B12" s="8" t="s">
        <v>16</v>
      </c>
      <c r="C12" s="16">
        <v>11242703.455693081</v>
      </c>
      <c r="D12" s="16">
        <v>11146947.886300683</v>
      </c>
      <c r="E12" s="18">
        <v>93.903482812703558</v>
      </c>
      <c r="F12" s="18">
        <v>100.85902948833268</v>
      </c>
      <c r="G12" s="10" t="s">
        <v>17</v>
      </c>
      <c r="H12" s="3"/>
      <c r="I12" s="3"/>
      <c r="J12" s="3"/>
      <c r="K12" s="3"/>
    </row>
    <row r="13" spans="1:11" ht="47.25">
      <c r="A13" s="5" t="s">
        <v>18</v>
      </c>
      <c r="B13" s="8" t="s">
        <v>19</v>
      </c>
      <c r="C13" s="16">
        <v>10175308.491393147</v>
      </c>
      <c r="D13" s="16">
        <v>9666342.7709543072</v>
      </c>
      <c r="E13" s="18">
        <v>96.041806047756054</v>
      </c>
      <c r="F13" s="18">
        <v>105.26533904806475</v>
      </c>
      <c r="G13" s="10" t="s">
        <v>20</v>
      </c>
      <c r="H13" s="3"/>
      <c r="I13" s="3"/>
      <c r="J13" s="3"/>
      <c r="K13" s="3"/>
    </row>
    <row r="14" spans="1:11">
      <c r="A14" s="5" t="s">
        <v>21</v>
      </c>
      <c r="B14" s="8" t="s">
        <v>22</v>
      </c>
      <c r="C14" s="16">
        <v>5583955.9956109785</v>
      </c>
      <c r="D14" s="16">
        <v>4812722.186311516</v>
      </c>
      <c r="E14" s="18">
        <v>92.015602260570546</v>
      </c>
      <c r="F14" s="18">
        <v>116.02489774899179</v>
      </c>
      <c r="G14" s="10" t="s">
        <v>23</v>
      </c>
      <c r="H14" s="3"/>
      <c r="I14" s="3"/>
      <c r="J14" s="3"/>
      <c r="K14" s="3"/>
    </row>
    <row r="15" spans="1:11" ht="15.75" customHeight="1">
      <c r="A15" s="5" t="s">
        <v>24</v>
      </c>
      <c r="B15" s="8" t="s">
        <v>97</v>
      </c>
      <c r="C15" s="16">
        <v>1848675.7107701157</v>
      </c>
      <c r="D15" s="16">
        <v>1734822.3272309019</v>
      </c>
      <c r="E15" s="18">
        <v>102.0233122104781</v>
      </c>
      <c r="F15" s="18">
        <v>106.56282673747603</v>
      </c>
      <c r="G15" s="10" t="s">
        <v>99</v>
      </c>
      <c r="H15" s="3"/>
      <c r="I15" s="3"/>
      <c r="J15" s="3"/>
      <c r="K15" s="3"/>
    </row>
    <row r="16" spans="1:11">
      <c r="A16" s="5" t="s">
        <v>25</v>
      </c>
      <c r="B16" s="8" t="s">
        <v>26</v>
      </c>
      <c r="C16" s="16">
        <v>1743468.3795503676</v>
      </c>
      <c r="D16" s="16">
        <v>1618772.5226971188</v>
      </c>
      <c r="E16" s="18">
        <v>91.411779566634138</v>
      </c>
      <c r="F16" s="18">
        <v>107.70311177789742</v>
      </c>
      <c r="G16" s="10" t="s">
        <v>27</v>
      </c>
      <c r="H16" s="3"/>
      <c r="I16" s="3"/>
      <c r="J16" s="3"/>
      <c r="K16" s="3"/>
    </row>
    <row r="17" spans="1:17">
      <c r="A17" s="5" t="s">
        <v>28</v>
      </c>
      <c r="B17" s="8" t="s">
        <v>103</v>
      </c>
      <c r="C17" s="16">
        <v>1507469.7737588061</v>
      </c>
      <c r="D17" s="16">
        <v>1571054.9732723543</v>
      </c>
      <c r="E17" s="18">
        <v>109.07934592741124</v>
      </c>
      <c r="F17" s="18">
        <v>95.952706901076382</v>
      </c>
      <c r="G17" s="10" t="s">
        <v>102</v>
      </c>
      <c r="H17" s="3"/>
      <c r="I17" s="3"/>
      <c r="J17" s="3"/>
      <c r="K17" s="3"/>
    </row>
    <row r="18" spans="1:17">
      <c r="A18" s="5" t="s">
        <v>29</v>
      </c>
      <c r="B18" s="8" t="s">
        <v>30</v>
      </c>
      <c r="C18" s="16">
        <v>1728527.7140480983</v>
      </c>
      <c r="D18" s="16">
        <v>1535683.3567222366</v>
      </c>
      <c r="E18" s="18">
        <v>97.180982092067651</v>
      </c>
      <c r="F18" s="18">
        <v>112.55755989551575</v>
      </c>
      <c r="G18" s="10" t="s">
        <v>31</v>
      </c>
      <c r="H18" s="3"/>
      <c r="I18" s="3"/>
      <c r="J18" s="3"/>
      <c r="K18" s="3"/>
    </row>
    <row r="19" spans="1:17" ht="31.5">
      <c r="A19" s="5" t="s">
        <v>32</v>
      </c>
      <c r="B19" s="8" t="s">
        <v>33</v>
      </c>
      <c r="C19" s="16">
        <v>971479.22212670394</v>
      </c>
      <c r="D19" s="16">
        <v>892987.89005570556</v>
      </c>
      <c r="E19" s="18">
        <v>108.8800589592845</v>
      </c>
      <c r="F19" s="18">
        <v>108.78974204970484</v>
      </c>
      <c r="G19" s="10" t="s">
        <v>34</v>
      </c>
      <c r="H19" s="3"/>
      <c r="I19" s="3"/>
      <c r="J19" s="3"/>
      <c r="K19" s="3"/>
    </row>
    <row r="20" spans="1:17" ht="31.5">
      <c r="A20" s="5" t="s">
        <v>35</v>
      </c>
      <c r="B20" s="8" t="s">
        <v>36</v>
      </c>
      <c r="C20" s="16">
        <v>2781082.2092095087</v>
      </c>
      <c r="D20" s="16">
        <v>2582364.3889030577</v>
      </c>
      <c r="E20" s="18">
        <v>111.14863751429642</v>
      </c>
      <c r="F20" s="18">
        <v>107.69518899657933</v>
      </c>
      <c r="G20" s="10" t="s">
        <v>37</v>
      </c>
      <c r="H20" s="3"/>
      <c r="I20" s="3"/>
      <c r="J20" s="3"/>
      <c r="K20" s="3"/>
    </row>
    <row r="21" spans="1:17" ht="31.5">
      <c r="A21" s="5" t="s">
        <v>38</v>
      </c>
      <c r="B21" s="8" t="s">
        <v>39</v>
      </c>
      <c r="C21" s="16">
        <v>1252755.492473138</v>
      </c>
      <c r="D21" s="16">
        <v>1083744.0380461467</v>
      </c>
      <c r="E21" s="18">
        <v>111.94833017191834</v>
      </c>
      <c r="F21" s="18">
        <v>115.59514502443746</v>
      </c>
      <c r="G21" s="10" t="s">
        <v>40</v>
      </c>
      <c r="H21" s="3"/>
      <c r="I21" s="3"/>
      <c r="J21" s="3"/>
      <c r="K21" s="3"/>
    </row>
    <row r="22" spans="1:17">
      <c r="A22" s="5" t="s">
        <v>41</v>
      </c>
      <c r="B22" s="8" t="s">
        <v>42</v>
      </c>
      <c r="C22" s="16">
        <v>1197955.1545487687</v>
      </c>
      <c r="D22" s="16">
        <v>1097910.60846849</v>
      </c>
      <c r="E22" s="18">
        <v>99.318047760785205</v>
      </c>
      <c r="F22" s="18">
        <v>109.11226700139404</v>
      </c>
      <c r="G22" s="10" t="s">
        <v>43</v>
      </c>
      <c r="H22" s="3"/>
      <c r="I22" s="3"/>
      <c r="J22" s="3"/>
      <c r="K22" s="3"/>
    </row>
    <row r="23" spans="1:17">
      <c r="A23" s="5" t="s">
        <v>44</v>
      </c>
      <c r="B23" s="8" t="s">
        <v>45</v>
      </c>
      <c r="C23" s="16">
        <v>1988732.1266317645</v>
      </c>
      <c r="D23" s="16">
        <v>1901966.3203175513</v>
      </c>
      <c r="E23" s="18">
        <v>102.94568368864014</v>
      </c>
      <c r="F23" s="18">
        <v>104.56190024961782</v>
      </c>
      <c r="G23" s="10" t="s">
        <v>46</v>
      </c>
      <c r="H23" s="3"/>
      <c r="I23" s="3"/>
      <c r="J23" s="3"/>
      <c r="K23" s="3"/>
    </row>
    <row r="24" spans="1:17" ht="31.5">
      <c r="A24" s="5" t="s">
        <v>47</v>
      </c>
      <c r="B24" s="8" t="s">
        <v>105</v>
      </c>
      <c r="C24" s="16">
        <v>769842.37479732675</v>
      </c>
      <c r="D24" s="16">
        <v>716815.38337240345</v>
      </c>
      <c r="E24" s="18">
        <v>98.444365199659927</v>
      </c>
      <c r="F24" s="18">
        <v>107.39757999827613</v>
      </c>
      <c r="G24" s="10" t="s">
        <v>101</v>
      </c>
      <c r="H24" s="3"/>
      <c r="I24" s="3"/>
      <c r="J24" s="59"/>
      <c r="K24" s="59"/>
    </row>
    <row r="25" spans="1:17">
      <c r="A25" s="5" t="s">
        <v>48</v>
      </c>
      <c r="B25" s="8" t="s">
        <v>49</v>
      </c>
      <c r="C25" s="16">
        <v>756835.06316479063</v>
      </c>
      <c r="D25" s="16">
        <v>715436.55417882418</v>
      </c>
      <c r="E25" s="18">
        <v>87.21841662297723</v>
      </c>
      <c r="F25" s="18">
        <v>105.78646824014794</v>
      </c>
      <c r="G25" s="10" t="s">
        <v>50</v>
      </c>
      <c r="H25" s="3"/>
      <c r="I25" s="3"/>
      <c r="J25" s="59"/>
      <c r="K25" s="59"/>
    </row>
    <row r="26" spans="1:17" ht="78.75">
      <c r="A26" s="5" t="s">
        <v>51</v>
      </c>
      <c r="B26" s="8" t="s">
        <v>106</v>
      </c>
      <c r="C26" s="16">
        <v>0</v>
      </c>
      <c r="D26" s="16">
        <v>0</v>
      </c>
      <c r="E26" s="16">
        <v>0</v>
      </c>
      <c r="F26" s="16">
        <v>0</v>
      </c>
      <c r="G26" s="10" t="s">
        <v>52</v>
      </c>
      <c r="H26" s="3"/>
      <c r="I26" s="3"/>
      <c r="J26" s="59"/>
      <c r="K26" s="59"/>
    </row>
    <row r="27" spans="1:17" s="4" customFormat="1" ht="16.5" thickBot="1">
      <c r="A27" s="11"/>
      <c r="B27" s="14" t="s">
        <v>74</v>
      </c>
      <c r="C27" s="12">
        <v>65212453.649760716</v>
      </c>
      <c r="D27" s="12">
        <v>62697552.064285643</v>
      </c>
      <c r="E27" s="17">
        <v>101.21995997045659</v>
      </c>
      <c r="F27" s="17">
        <v>104.01116391736709</v>
      </c>
      <c r="G27" s="13" t="s">
        <v>75</v>
      </c>
      <c r="H27" s="3"/>
      <c r="I27" s="3"/>
      <c r="J27" s="59"/>
      <c r="K27" s="59"/>
    </row>
    <row r="28" spans="1:17">
      <c r="C28" s="59"/>
      <c r="D28" s="59"/>
    </row>
    <row r="29" spans="1:17" s="41" customFormat="1" ht="12">
      <c r="A29" s="41" t="s">
        <v>108</v>
      </c>
      <c r="C29" s="42"/>
      <c r="G29" s="42"/>
      <c r="H29" s="42"/>
      <c r="L29" s="42"/>
      <c r="M29" s="43"/>
      <c r="N29" s="43"/>
      <c r="O29" s="43"/>
      <c r="P29" s="43"/>
      <c r="Q29" s="43"/>
    </row>
    <row r="30" spans="1:17" s="41" customFormat="1" ht="12">
      <c r="A30" s="44" t="s">
        <v>109</v>
      </c>
      <c r="C30" s="42"/>
      <c r="G30" s="42"/>
      <c r="H30" s="42"/>
      <c r="L30" s="42"/>
      <c r="M30" s="45"/>
      <c r="N30" s="45"/>
      <c r="O30" s="45"/>
      <c r="P30" s="45"/>
      <c r="Q30" s="43"/>
    </row>
    <row r="31" spans="1:17" s="41" customFormat="1" ht="12">
      <c r="A31" s="41" t="s">
        <v>110</v>
      </c>
      <c r="B31" s="41" t="s">
        <v>111</v>
      </c>
      <c r="C31" s="42"/>
      <c r="G31" s="42"/>
      <c r="H31" s="42"/>
      <c r="L31" s="42"/>
      <c r="M31" s="45"/>
      <c r="N31" s="45"/>
      <c r="O31" s="45"/>
      <c r="P31" s="45"/>
      <c r="Q31" s="43"/>
    </row>
    <row r="32" spans="1:17" s="41" customFormat="1" ht="12">
      <c r="B32" s="41" t="s">
        <v>112</v>
      </c>
      <c r="C32" s="42"/>
      <c r="G32" s="42"/>
      <c r="H32" s="42"/>
      <c r="L32" s="42"/>
      <c r="M32" s="45"/>
      <c r="N32" s="45"/>
      <c r="O32" s="45"/>
      <c r="P32" s="45"/>
      <c r="Q32" s="43"/>
    </row>
    <row r="33" spans="2:17" s="41" customFormat="1" ht="12">
      <c r="C33" s="42"/>
      <c r="G33" s="42"/>
      <c r="H33" s="42"/>
      <c r="L33" s="42"/>
      <c r="M33" s="45"/>
      <c r="N33" s="45"/>
      <c r="O33" s="45"/>
      <c r="P33" s="45"/>
      <c r="Q33" s="43"/>
    </row>
    <row r="34" spans="2:17" s="41" customFormat="1" ht="12">
      <c r="B34" s="41" t="s">
        <v>113</v>
      </c>
      <c r="C34" s="42"/>
      <c r="G34" s="42"/>
      <c r="H34" s="42"/>
      <c r="L34" s="42"/>
      <c r="M34" s="43"/>
      <c r="N34" s="43"/>
      <c r="O34" s="43"/>
      <c r="P34" s="43"/>
      <c r="Q34" s="43"/>
    </row>
    <row r="35" spans="2:17" s="41" customFormat="1" ht="12">
      <c r="B35" s="41" t="s">
        <v>69</v>
      </c>
      <c r="C35" s="42"/>
      <c r="G35" s="42"/>
      <c r="H35" s="42"/>
      <c r="L35" s="42"/>
      <c r="M35" s="43"/>
      <c r="N35" s="43"/>
      <c r="O35" s="43"/>
      <c r="P35" s="43"/>
      <c r="Q35" s="43"/>
    </row>
  </sheetData>
  <mergeCells count="7">
    <mergeCell ref="A1:G1"/>
    <mergeCell ref="A2:G2"/>
    <mergeCell ref="A3:G3"/>
    <mergeCell ref="C5:F5"/>
    <mergeCell ref="G5:G6"/>
    <mergeCell ref="B5:B6"/>
    <mergeCell ref="A5:A6"/>
  </mergeCells>
  <printOptions horizontalCentered="1" verticalCentered="1"/>
  <pageMargins left="0.45" right="0.45" top="0.33" bottom="0.81" header="0.28000000000000003" footer="0.3"/>
  <pageSetup paperSize="9" scale="69" orientation="landscape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B0F-9952-411E-8B82-7DDBB17904C3}">
  <sheetPr>
    <pageSetUpPr fitToPage="1"/>
  </sheetPr>
  <dimension ref="A1:R61"/>
  <sheetViews>
    <sheetView zoomScale="80" zoomScaleNormal="80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C7" sqref="C7:H29"/>
    </sheetView>
  </sheetViews>
  <sheetFormatPr defaultColWidth="9.140625" defaultRowHeight="12.75"/>
  <cols>
    <col min="1" max="1" width="10.7109375" style="76" customWidth="1"/>
    <col min="2" max="2" width="31.42578125" style="76" customWidth="1"/>
    <col min="3" max="3" width="16.7109375" style="76" customWidth="1"/>
    <col min="4" max="4" width="19.5703125" style="76" customWidth="1"/>
    <col min="5" max="8" width="21.7109375" style="76" customWidth="1"/>
    <col min="9" max="9" width="60.85546875" style="76" customWidth="1"/>
    <col min="10" max="11" width="12" style="76" bestFit="1" customWidth="1"/>
    <col min="12" max="12" width="11.28515625" style="76" bestFit="1" customWidth="1"/>
    <col min="13" max="16384" width="9.140625" style="76"/>
  </cols>
  <sheetData>
    <row r="1" spans="1:18" ht="15.75">
      <c r="A1" s="150" t="s">
        <v>145</v>
      </c>
      <c r="B1" s="150"/>
      <c r="C1" s="150"/>
      <c r="D1" s="150"/>
      <c r="E1" s="150"/>
      <c r="F1" s="150"/>
      <c r="G1" s="150"/>
      <c r="H1" s="150"/>
      <c r="I1" s="150"/>
    </row>
    <row r="2" spans="1:18" ht="15.75" customHeight="1">
      <c r="A2" s="169" t="s">
        <v>146</v>
      </c>
      <c r="B2" s="169"/>
      <c r="C2" s="169"/>
      <c r="D2" s="169"/>
      <c r="E2" s="169"/>
      <c r="F2" s="169"/>
      <c r="G2" s="169"/>
      <c r="H2" s="169"/>
      <c r="I2" s="169"/>
      <c r="J2" s="77"/>
      <c r="K2" s="78"/>
    </row>
    <row r="3" spans="1:18" ht="16.5" thickBot="1">
      <c r="A3" s="2"/>
      <c r="B3" s="2"/>
      <c r="C3" s="2"/>
      <c r="D3" s="2"/>
      <c r="E3" s="2"/>
      <c r="F3" s="2"/>
      <c r="G3" s="2"/>
      <c r="H3" s="2"/>
      <c r="I3" s="2"/>
      <c r="J3" s="77"/>
      <c r="K3" s="78"/>
    </row>
    <row r="4" spans="1:18" ht="33" customHeight="1">
      <c r="A4" s="161" t="s">
        <v>123</v>
      </c>
      <c r="B4" s="161" t="s">
        <v>124</v>
      </c>
      <c r="C4" s="170" t="s">
        <v>138</v>
      </c>
      <c r="D4" s="147"/>
      <c r="E4" s="147"/>
      <c r="F4" s="147"/>
      <c r="G4" s="147"/>
      <c r="H4" s="147"/>
      <c r="I4" s="171" t="s">
        <v>125</v>
      </c>
      <c r="J4" s="77"/>
      <c r="K4" s="78"/>
    </row>
    <row r="5" spans="1:18" ht="95.25" thickBot="1">
      <c r="A5" s="162"/>
      <c r="B5" s="162"/>
      <c r="C5" s="89" t="s">
        <v>142</v>
      </c>
      <c r="D5" s="89" t="s">
        <v>139</v>
      </c>
      <c r="E5" s="90" t="s">
        <v>140</v>
      </c>
      <c r="F5" s="90" t="s">
        <v>141</v>
      </c>
      <c r="G5" s="90" t="s">
        <v>143</v>
      </c>
      <c r="H5" s="90" t="s">
        <v>144</v>
      </c>
      <c r="I5" s="172"/>
      <c r="J5" s="77"/>
      <c r="K5" s="78"/>
    </row>
    <row r="6" spans="1:18" ht="23.25" customHeight="1">
      <c r="A6" s="163" t="s">
        <v>0</v>
      </c>
      <c r="B6" s="164"/>
      <c r="C6" s="164"/>
      <c r="D6" s="164"/>
      <c r="E6" s="164"/>
      <c r="F6" s="164"/>
      <c r="G6" s="164"/>
      <c r="H6" s="164"/>
      <c r="I6" s="165"/>
      <c r="J6" s="77"/>
      <c r="K6" s="78"/>
      <c r="L6" s="79"/>
      <c r="M6" s="79"/>
      <c r="N6" s="79"/>
      <c r="O6" s="79"/>
      <c r="P6" s="79"/>
      <c r="Q6" s="79"/>
      <c r="R6" s="79"/>
    </row>
    <row r="7" spans="1:18" ht="31.5">
      <c r="A7" s="5" t="s">
        <v>1</v>
      </c>
      <c r="B7" s="31" t="s">
        <v>2</v>
      </c>
      <c r="C7" s="16">
        <v>5404123.664227318</v>
      </c>
      <c r="D7" s="16">
        <v>5576685.1362320911</v>
      </c>
      <c r="E7" s="18">
        <v>107.931892059443</v>
      </c>
      <c r="F7" s="18">
        <v>96.905662274464277</v>
      </c>
      <c r="G7" s="18">
        <v>3.2598215619572999</v>
      </c>
      <c r="H7" s="18">
        <v>0.25962105441406402</v>
      </c>
      <c r="I7" s="117" t="s">
        <v>3</v>
      </c>
      <c r="J7" s="77"/>
      <c r="K7" s="78"/>
      <c r="L7" s="80"/>
    </row>
    <row r="8" spans="1:18" ht="15.75">
      <c r="A8" s="5" t="s">
        <v>4</v>
      </c>
      <c r="B8" s="31" t="s">
        <v>5</v>
      </c>
      <c r="C8" s="16">
        <v>464634.12130444171</v>
      </c>
      <c r="D8" s="16">
        <v>449650.78560204618</v>
      </c>
      <c r="E8" s="18">
        <v>104.33236925359701</v>
      </c>
      <c r="F8" s="18">
        <v>103.33221606236806</v>
      </c>
      <c r="G8" s="18">
        <v>0.28027195918468356</v>
      </c>
      <c r="H8" s="18">
        <v>1.1828196518416625E-2</v>
      </c>
      <c r="I8" s="117" t="s">
        <v>6</v>
      </c>
      <c r="J8" s="77"/>
      <c r="K8" s="78"/>
      <c r="L8" s="80"/>
    </row>
    <row r="9" spans="1:18" ht="15.75">
      <c r="A9" s="5" t="s">
        <v>7</v>
      </c>
      <c r="B9" s="31" t="s">
        <v>8</v>
      </c>
      <c r="C9" s="16">
        <v>13508080.388647102</v>
      </c>
      <c r="D9" s="16">
        <v>13088830.020475255</v>
      </c>
      <c r="E9" s="18">
        <v>106.440200888094</v>
      </c>
      <c r="F9" s="18">
        <v>103.20311569113511</v>
      </c>
      <c r="G9" s="18">
        <v>8.1482094873305009</v>
      </c>
      <c r="H9" s="18">
        <v>0.50168525432170596</v>
      </c>
      <c r="I9" s="117" t="s">
        <v>9</v>
      </c>
      <c r="J9" s="77"/>
      <c r="K9" s="78"/>
      <c r="L9" s="80"/>
    </row>
    <row r="10" spans="1:18" ht="63">
      <c r="A10" s="5" t="s">
        <v>10</v>
      </c>
      <c r="B10" s="31" t="s">
        <v>11</v>
      </c>
      <c r="C10" s="16">
        <v>3434070.4348860285</v>
      </c>
      <c r="D10" s="16">
        <v>3556563.2636677162</v>
      </c>
      <c r="E10" s="18">
        <v>116.15616745471701</v>
      </c>
      <c r="F10" s="18">
        <v>96.555865319955913</v>
      </c>
      <c r="G10" s="18">
        <v>2.0714657073862699</v>
      </c>
      <c r="H10" s="18">
        <v>0.313374309243311</v>
      </c>
      <c r="I10" s="117" t="s">
        <v>104</v>
      </c>
      <c r="J10" s="77"/>
      <c r="K10" s="78"/>
      <c r="L10" s="80"/>
    </row>
    <row r="11" spans="1:18" ht="47.25">
      <c r="A11" s="5" t="s">
        <v>12</v>
      </c>
      <c r="B11" s="31" t="s">
        <v>13</v>
      </c>
      <c r="C11" s="16">
        <v>1128558.0353873204</v>
      </c>
      <c r="D11" s="16">
        <v>1033861.1846758572</v>
      </c>
      <c r="E11" s="18">
        <v>91.885808361152186</v>
      </c>
      <c r="F11" s="18">
        <v>109.1595324512694</v>
      </c>
      <c r="G11" s="18">
        <v>0.68075751893471181</v>
      </c>
      <c r="H11" s="18">
        <v>-5.7835677890856703E-2</v>
      </c>
      <c r="I11" s="117" t="s">
        <v>14</v>
      </c>
      <c r="J11" s="77"/>
      <c r="K11" s="78"/>
      <c r="L11" s="80"/>
    </row>
    <row r="12" spans="1:18" ht="15.75">
      <c r="A12" s="5" t="s">
        <v>15</v>
      </c>
      <c r="B12" s="31" t="s">
        <v>16</v>
      </c>
      <c r="C12" s="16">
        <v>8112979.1492198985</v>
      </c>
      <c r="D12" s="16">
        <v>7950455.6611997094</v>
      </c>
      <c r="E12" s="18">
        <v>90.312775595298206</v>
      </c>
      <c r="F12" s="18">
        <v>102.04420343872044</v>
      </c>
      <c r="G12" s="18">
        <v>4.8938303424480099</v>
      </c>
      <c r="H12" s="18">
        <v>-0.54023033888911876</v>
      </c>
      <c r="I12" s="117" t="s">
        <v>17</v>
      </c>
      <c r="J12" s="77"/>
      <c r="K12" s="78"/>
      <c r="L12" s="80"/>
    </row>
    <row r="13" spans="1:18" ht="63">
      <c r="A13" s="5" t="s">
        <v>18</v>
      </c>
      <c r="B13" s="31" t="s">
        <v>19</v>
      </c>
      <c r="C13" s="16">
        <v>24610307.075190436</v>
      </c>
      <c r="D13" s="16">
        <v>23311393.406102836</v>
      </c>
      <c r="E13" s="18">
        <v>101.60476820760999</v>
      </c>
      <c r="F13" s="18">
        <v>105.57201213354989</v>
      </c>
      <c r="G13" s="18">
        <v>14.845183906717001</v>
      </c>
      <c r="H13" s="18">
        <v>0.233240109027052</v>
      </c>
      <c r="I13" s="117" t="s">
        <v>20</v>
      </c>
      <c r="J13" s="77"/>
      <c r="K13" s="78"/>
      <c r="L13" s="80"/>
    </row>
    <row r="14" spans="1:18" ht="12" customHeight="1">
      <c r="A14" s="5" t="s">
        <v>21</v>
      </c>
      <c r="B14" s="31" t="s">
        <v>22</v>
      </c>
      <c r="C14" s="16">
        <v>8153187.5371271782</v>
      </c>
      <c r="D14" s="16">
        <v>7108229.548265364</v>
      </c>
      <c r="E14" s="18">
        <v>102.001458111982</v>
      </c>
      <c r="F14" s="18">
        <v>114.70067872409689</v>
      </c>
      <c r="G14" s="18">
        <v>4.9180844450584598</v>
      </c>
      <c r="H14" s="18">
        <v>8.8356468449733799E-2</v>
      </c>
      <c r="I14" s="117" t="s">
        <v>23</v>
      </c>
      <c r="J14" s="77"/>
      <c r="K14" s="78"/>
      <c r="L14" s="80"/>
    </row>
    <row r="15" spans="1:18" ht="31.5">
      <c r="A15" s="5" t="s">
        <v>24</v>
      </c>
      <c r="B15" s="31" t="s">
        <v>97</v>
      </c>
      <c r="C15" s="16">
        <v>3073188.6942026936</v>
      </c>
      <c r="D15" s="16">
        <v>2796518.627244181</v>
      </c>
      <c r="E15" s="18">
        <v>101.502370937233</v>
      </c>
      <c r="F15" s="18">
        <v>109.89337472181103</v>
      </c>
      <c r="G15" s="18">
        <v>1.8537782241439</v>
      </c>
      <c r="H15" s="18">
        <v>2.6221376299155434E-2</v>
      </c>
      <c r="I15" s="117" t="s">
        <v>99</v>
      </c>
      <c r="J15" s="77"/>
      <c r="K15" s="78"/>
      <c r="L15" s="80"/>
    </row>
    <row r="16" spans="1:18" ht="15.75">
      <c r="A16" s="5" t="s">
        <v>25</v>
      </c>
      <c r="B16" s="31" t="s">
        <v>26</v>
      </c>
      <c r="C16" s="16">
        <v>12184431.486486074</v>
      </c>
      <c r="D16" s="16">
        <v>11825854.412717581</v>
      </c>
      <c r="E16" s="18">
        <v>92.031944490583996</v>
      </c>
      <c r="F16" s="18">
        <v>103.03214517323059</v>
      </c>
      <c r="G16" s="18">
        <v>7.3497712020840202</v>
      </c>
      <c r="H16" s="18">
        <v>-0.64860913450905011</v>
      </c>
      <c r="I16" s="117" t="s">
        <v>27</v>
      </c>
      <c r="J16" s="77"/>
      <c r="K16" s="78"/>
      <c r="L16" s="80"/>
    </row>
    <row r="17" spans="1:18" ht="15.75">
      <c r="A17" s="5" t="s">
        <v>28</v>
      </c>
      <c r="B17" s="31" t="s">
        <v>103</v>
      </c>
      <c r="C17" s="16">
        <v>5456904.5470582023</v>
      </c>
      <c r="D17" s="16">
        <v>5518822.0653194096</v>
      </c>
      <c r="E17" s="18">
        <v>102.471937940042</v>
      </c>
      <c r="F17" s="18">
        <v>98.878066414746357</v>
      </c>
      <c r="G17" s="18">
        <v>3.29165951952481</v>
      </c>
      <c r="H17" s="18">
        <v>8.4336541103100501E-2</v>
      </c>
      <c r="I17" s="117" t="s">
        <v>102</v>
      </c>
      <c r="J17" s="77"/>
      <c r="K17" s="78"/>
      <c r="L17" s="80"/>
    </row>
    <row r="18" spans="1:18" ht="15.75">
      <c r="A18" s="5" t="s">
        <v>29</v>
      </c>
      <c r="B18" s="31" t="s">
        <v>30</v>
      </c>
      <c r="C18" s="16">
        <v>14356854.202276647</v>
      </c>
      <c r="D18" s="16">
        <v>13052679.751654301</v>
      </c>
      <c r="E18" s="18">
        <v>95.798709643874005</v>
      </c>
      <c r="F18" s="18">
        <v>109.99162222192003</v>
      </c>
      <c r="G18" s="18">
        <v>8.6601983593116394</v>
      </c>
      <c r="H18" s="18">
        <v>-0.3626264794034646</v>
      </c>
      <c r="I18" s="117" t="s">
        <v>31</v>
      </c>
      <c r="J18" s="77"/>
      <c r="K18" s="78"/>
      <c r="L18" s="80"/>
    </row>
    <row r="19" spans="1:18" ht="31.5">
      <c r="A19" s="5" t="s">
        <v>32</v>
      </c>
      <c r="B19" s="31" t="s">
        <v>33</v>
      </c>
      <c r="C19" s="16">
        <v>3685080.3144965181</v>
      </c>
      <c r="D19" s="16">
        <v>3304690.8790123155</v>
      </c>
      <c r="E19" s="18">
        <v>103.098298472482</v>
      </c>
      <c r="F19" s="18">
        <v>111.51059053359602</v>
      </c>
      <c r="G19" s="18">
        <v>2.22287738273985</v>
      </c>
      <c r="H19" s="18">
        <v>6.2912852474900791E-2</v>
      </c>
      <c r="I19" s="117" t="s">
        <v>34</v>
      </c>
      <c r="J19" s="77"/>
      <c r="K19" s="78"/>
      <c r="L19" s="80"/>
    </row>
    <row r="20" spans="1:18" ht="47.25">
      <c r="A20" s="5" t="s">
        <v>35</v>
      </c>
      <c r="B20" s="31" t="s">
        <v>36</v>
      </c>
      <c r="C20" s="16">
        <v>2285815.2981874738</v>
      </c>
      <c r="D20" s="16">
        <v>2094920.491533559</v>
      </c>
      <c r="E20" s="18">
        <v>107.51823679265242</v>
      </c>
      <c r="F20" s="18">
        <v>109.11226976992204</v>
      </c>
      <c r="G20" s="18">
        <v>1.3788266995086924</v>
      </c>
      <c r="H20" s="18">
        <v>9.2797909084625235E-2</v>
      </c>
      <c r="I20" s="117" t="s">
        <v>37</v>
      </c>
      <c r="J20" s="77"/>
      <c r="K20" s="78"/>
      <c r="L20" s="80"/>
    </row>
    <row r="21" spans="1:18" ht="47.25">
      <c r="A21" s="5" t="s">
        <v>38</v>
      </c>
      <c r="B21" s="31" t="s">
        <v>39</v>
      </c>
      <c r="C21" s="16">
        <v>7387414.1451762933</v>
      </c>
      <c r="D21" s="16">
        <v>7335342.5319641456</v>
      </c>
      <c r="E21" s="18">
        <v>101.729097286251</v>
      </c>
      <c r="F21" s="18">
        <v>100.70987296074101</v>
      </c>
      <c r="G21" s="18">
        <v>4.45616225938035</v>
      </c>
      <c r="H21" s="18">
        <v>7.8982598297035717E-2</v>
      </c>
      <c r="I21" s="117" t="s">
        <v>40</v>
      </c>
      <c r="J21" s="77"/>
      <c r="K21" s="78"/>
      <c r="L21" s="80"/>
    </row>
    <row r="22" spans="1:18" ht="15.75">
      <c r="A22" s="5" t="s">
        <v>41</v>
      </c>
      <c r="B22" s="31" t="s">
        <v>42</v>
      </c>
      <c r="C22" s="16">
        <v>12246846.73936153</v>
      </c>
      <c r="D22" s="16">
        <v>12198614.808224991</v>
      </c>
      <c r="E22" s="18">
        <v>97.309324298931998</v>
      </c>
      <c r="F22" s="18">
        <v>100.39538859038338</v>
      </c>
      <c r="G22" s="18">
        <v>7.3874207082315602</v>
      </c>
      <c r="H22" s="18">
        <v>-0.21367523853378978</v>
      </c>
      <c r="I22" s="117" t="s">
        <v>43</v>
      </c>
      <c r="J22" s="77"/>
      <c r="K22" s="78"/>
      <c r="L22" s="80"/>
    </row>
    <row r="23" spans="1:18" ht="15.75">
      <c r="A23" s="5" t="s">
        <v>44</v>
      </c>
      <c r="B23" s="31" t="s">
        <v>45</v>
      </c>
      <c r="C23" s="16">
        <v>11086614.949043024</v>
      </c>
      <c r="D23" s="16">
        <v>10925176.592209224</v>
      </c>
      <c r="E23" s="18">
        <v>102.127307869511</v>
      </c>
      <c r="F23" s="18">
        <v>101.47767274488655</v>
      </c>
      <c r="G23" s="18">
        <v>6.6875572628436304</v>
      </c>
      <c r="H23" s="18">
        <v>0.14416296573019399</v>
      </c>
      <c r="I23" s="117" t="s">
        <v>46</v>
      </c>
      <c r="J23" s="77"/>
      <c r="K23" s="78"/>
      <c r="L23" s="80"/>
    </row>
    <row r="24" spans="1:18" ht="31.5">
      <c r="A24" s="5" t="s">
        <v>47</v>
      </c>
      <c r="B24" s="31" t="s">
        <v>105</v>
      </c>
      <c r="C24" s="16">
        <v>1622567.6372600906</v>
      </c>
      <c r="D24" s="16">
        <v>1528174.5110031012</v>
      </c>
      <c r="E24" s="18">
        <v>94.905348866406769</v>
      </c>
      <c r="F24" s="18">
        <v>106.17685516787145</v>
      </c>
      <c r="G24" s="18">
        <v>0.97874906244041526</v>
      </c>
      <c r="H24" s="18">
        <v>-5.1967699450348667E-2</v>
      </c>
      <c r="I24" s="117" t="s">
        <v>101</v>
      </c>
      <c r="J24" s="77"/>
      <c r="K24" s="78"/>
      <c r="L24" s="80"/>
    </row>
    <row r="25" spans="1:18" ht="15.75">
      <c r="A25" s="5" t="s">
        <v>48</v>
      </c>
      <c r="B25" s="31" t="s">
        <v>49</v>
      </c>
      <c r="C25" s="16">
        <v>2012847.8722958835</v>
      </c>
      <c r="D25" s="16">
        <v>1911910.7067946908</v>
      </c>
      <c r="E25" s="18">
        <v>89.400742802620812</v>
      </c>
      <c r="F25" s="18">
        <v>105.27938701020265</v>
      </c>
      <c r="G25" s="18">
        <v>1.2141700121490753</v>
      </c>
      <c r="H25" s="18">
        <v>-0.14359479184608945</v>
      </c>
      <c r="I25" s="117" t="s">
        <v>50</v>
      </c>
      <c r="J25" s="77"/>
      <c r="K25" s="78"/>
      <c r="L25" s="80"/>
    </row>
    <row r="26" spans="1:18" ht="94.5">
      <c r="A26" s="5" t="s">
        <v>51</v>
      </c>
      <c r="B26" s="31" t="s">
        <v>106</v>
      </c>
      <c r="C26" s="16">
        <v>488537.10780000006</v>
      </c>
      <c r="D26" s="16">
        <v>462469.09978139016</v>
      </c>
      <c r="E26" s="18">
        <v>186.37804135286322</v>
      </c>
      <c r="F26" s="18">
        <v>105.63670265341669</v>
      </c>
      <c r="G26" s="18">
        <v>0.29469048022800909</v>
      </c>
      <c r="H26" s="18">
        <v>0.13577759400365977</v>
      </c>
      <c r="I26" s="117" t="s">
        <v>52</v>
      </c>
      <c r="J26" s="77"/>
      <c r="K26" s="78"/>
      <c r="L26" s="80"/>
    </row>
    <row r="27" spans="1:18" s="82" customFormat="1" ht="15.75">
      <c r="A27" s="75"/>
      <c r="B27" s="91" t="s">
        <v>70</v>
      </c>
      <c r="C27" s="92">
        <v>140703043.39963415</v>
      </c>
      <c r="D27" s="92">
        <v>135030843.48367977</v>
      </c>
      <c r="E27" s="93">
        <v>100.01725555000294</v>
      </c>
      <c r="F27" s="93">
        <v>104.20066983928744</v>
      </c>
      <c r="G27" s="93">
        <v>84.873486101602893</v>
      </c>
      <c r="H27" s="93">
        <v>1.4757868444235836E-2</v>
      </c>
      <c r="I27" s="118" t="s">
        <v>71</v>
      </c>
      <c r="J27" s="77"/>
      <c r="K27" s="78"/>
      <c r="L27" s="81"/>
    </row>
    <row r="28" spans="1:18" s="82" customFormat="1" ht="31.5">
      <c r="A28" s="94"/>
      <c r="B28" s="95" t="s">
        <v>100</v>
      </c>
      <c r="C28" s="92">
        <v>25076695.200000003</v>
      </c>
      <c r="D28" s="92">
        <v>23849767.934410155</v>
      </c>
      <c r="E28" s="93">
        <v>104.378890570013</v>
      </c>
      <c r="F28" s="93">
        <v>105.14439917807188</v>
      </c>
      <c r="G28" s="93">
        <v>15.1265138983971</v>
      </c>
      <c r="H28" s="93">
        <v>0.63382936055471295</v>
      </c>
      <c r="I28" s="119" t="s">
        <v>53</v>
      </c>
      <c r="J28" s="77"/>
      <c r="K28" s="78"/>
      <c r="L28" s="81"/>
    </row>
    <row r="29" spans="1:18" s="83" customFormat="1" ht="15.75">
      <c r="A29" s="96"/>
      <c r="B29" s="97" t="s">
        <v>54</v>
      </c>
      <c r="C29" s="98">
        <v>165779738.59963417</v>
      </c>
      <c r="D29" s="98">
        <v>158880611.41808993</v>
      </c>
      <c r="E29" s="99">
        <v>100.64858722899892</v>
      </c>
      <c r="F29" s="99">
        <v>104.34233423447081</v>
      </c>
      <c r="G29" s="99">
        <v>99.999999999999972</v>
      </c>
      <c r="H29" s="99">
        <v>0.64858722899894838</v>
      </c>
      <c r="I29" s="120" t="s">
        <v>55</v>
      </c>
      <c r="J29" s="77"/>
      <c r="K29" s="78"/>
      <c r="L29" s="81"/>
    </row>
    <row r="30" spans="1:18" ht="15.75" customHeight="1">
      <c r="A30" s="166" t="s">
        <v>56</v>
      </c>
      <c r="B30" s="167"/>
      <c r="C30" s="167"/>
      <c r="D30" s="167"/>
      <c r="E30" s="167"/>
      <c r="F30" s="167"/>
      <c r="G30" s="167"/>
      <c r="H30" s="167"/>
      <c r="I30" s="168"/>
      <c r="J30" s="77"/>
      <c r="K30" s="78"/>
      <c r="L30" s="78"/>
      <c r="M30" s="78"/>
      <c r="N30" s="78"/>
      <c r="O30" s="78"/>
      <c r="P30" s="78"/>
      <c r="Q30" s="78"/>
      <c r="R30" s="78"/>
    </row>
    <row r="31" spans="1:18" s="83" customFormat="1" ht="15.75">
      <c r="A31" s="114"/>
      <c r="B31" s="100" t="s">
        <v>98</v>
      </c>
      <c r="C31" s="101">
        <v>179196052.31364655</v>
      </c>
      <c r="D31" s="101">
        <v>168614250.03041402</v>
      </c>
      <c r="E31" s="102">
        <v>101.17309819609687</v>
      </c>
      <c r="F31" s="102">
        <v>106.2757461373068</v>
      </c>
      <c r="G31" s="102">
        <v>108.09285514201331</v>
      </c>
      <c r="H31" s="102">
        <v>1.2385124365554763</v>
      </c>
      <c r="I31" s="127" t="s">
        <v>57</v>
      </c>
      <c r="J31" s="84"/>
      <c r="K31" s="81"/>
      <c r="L31" s="81"/>
    </row>
    <row r="32" spans="1:18" s="83" customFormat="1" ht="15.75">
      <c r="A32" s="115"/>
      <c r="B32" s="103" t="s">
        <v>58</v>
      </c>
      <c r="C32" s="104">
        <v>142392217.77302465</v>
      </c>
      <c r="D32" s="104">
        <v>135951676.1072014</v>
      </c>
      <c r="E32" s="105">
        <v>101.48154071752084</v>
      </c>
      <c r="F32" s="105">
        <v>104.73737569865982</v>
      </c>
      <c r="G32" s="105">
        <v>85.892413199760142</v>
      </c>
      <c r="H32" s="105">
        <v>1.2573259674922754</v>
      </c>
      <c r="I32" s="128" t="s">
        <v>59</v>
      </c>
      <c r="J32" s="77"/>
      <c r="K32" s="80"/>
      <c r="L32" s="80"/>
    </row>
    <row r="33" spans="1:12" s="83" customFormat="1" ht="15.75">
      <c r="A33" s="115"/>
      <c r="B33" s="106" t="s">
        <v>76</v>
      </c>
      <c r="C33" s="104">
        <v>95612233.803450212</v>
      </c>
      <c r="D33" s="104">
        <v>91482958.264924347</v>
      </c>
      <c r="E33" s="105">
        <v>99.84005284093341</v>
      </c>
      <c r="F33" s="105">
        <v>104.51371011261786</v>
      </c>
      <c r="G33" s="105">
        <v>57.674257914071227</v>
      </c>
      <c r="H33" s="105">
        <v>-9.2842902169641028E-2</v>
      </c>
      <c r="I33" s="129" t="s">
        <v>77</v>
      </c>
      <c r="J33" s="77"/>
      <c r="K33" s="80"/>
      <c r="L33" s="80"/>
    </row>
    <row r="34" spans="1:12" s="83" customFormat="1" ht="15.75">
      <c r="A34" s="115"/>
      <c r="B34" s="106" t="s">
        <v>78</v>
      </c>
      <c r="C34" s="104">
        <v>48185465.635789245</v>
      </c>
      <c r="D34" s="104">
        <v>45620563.045258276</v>
      </c>
      <c r="E34" s="105">
        <v>104.62596864067058</v>
      </c>
      <c r="F34" s="105">
        <v>105.62225106250101</v>
      </c>
      <c r="G34" s="105">
        <v>29.06595591627984</v>
      </c>
      <c r="H34" s="105">
        <v>1.2777933183021994</v>
      </c>
      <c r="I34" s="129" t="s">
        <v>79</v>
      </c>
      <c r="J34" s="77"/>
      <c r="K34" s="80"/>
      <c r="L34" s="80"/>
    </row>
    <row r="35" spans="1:12" s="83" customFormat="1" ht="47.25">
      <c r="A35" s="115"/>
      <c r="B35" s="106" t="s">
        <v>80</v>
      </c>
      <c r="C35" s="104">
        <v>6671943.3878953615</v>
      </c>
      <c r="D35" s="104">
        <v>6465845.7443480631</v>
      </c>
      <c r="E35" s="105">
        <v>108.10650910609303</v>
      </c>
      <c r="F35" s="105">
        <v>103.1874816025027</v>
      </c>
      <c r="G35" s="105">
        <v>4.0245831358002802</v>
      </c>
      <c r="H35" s="105">
        <v>0.30714549508930244</v>
      </c>
      <c r="I35" s="129" t="s">
        <v>81</v>
      </c>
      <c r="J35" s="77"/>
      <c r="K35" s="80"/>
      <c r="L35" s="80"/>
    </row>
    <row r="36" spans="1:12" s="83" customFormat="1" ht="63">
      <c r="A36" s="115"/>
      <c r="B36" s="106" t="s">
        <v>82</v>
      </c>
      <c r="C36" s="16">
        <v>8077425.0541101592</v>
      </c>
      <c r="D36" s="16">
        <v>7617690.9473292688</v>
      </c>
      <c r="E36" s="18">
        <v>105.11377976709117</v>
      </c>
      <c r="F36" s="18">
        <v>106.03508477778389</v>
      </c>
      <c r="G36" s="18">
        <v>4.8723837663911924</v>
      </c>
      <c r="H36" s="18">
        <v>0.23476994372956936</v>
      </c>
      <c r="I36" s="129" t="s">
        <v>83</v>
      </c>
      <c r="J36" s="77"/>
      <c r="K36" s="80"/>
      <c r="L36" s="80"/>
    </row>
    <row r="37" spans="1:12" s="83" customFormat="1" ht="31.5">
      <c r="A37" s="115"/>
      <c r="B37" s="107" t="s">
        <v>84</v>
      </c>
      <c r="C37" s="16">
        <v>34642126.659551337</v>
      </c>
      <c r="D37" s="16">
        <v>30605911.08552511</v>
      </c>
      <c r="E37" s="18">
        <v>101.41564768030655</v>
      </c>
      <c r="F37" s="18">
        <v>113.18769947003841</v>
      </c>
      <c r="G37" s="18">
        <v>20.896478077921333</v>
      </c>
      <c r="H37" s="18">
        <v>0.27064019926388821</v>
      </c>
      <c r="I37" s="128" t="s">
        <v>85</v>
      </c>
      <c r="J37" s="77"/>
      <c r="K37" s="80"/>
      <c r="L37" s="80"/>
    </row>
    <row r="38" spans="1:12" s="83" customFormat="1" ht="47.25">
      <c r="A38" s="115"/>
      <c r="B38" s="107" t="s">
        <v>86</v>
      </c>
      <c r="C38" s="16">
        <v>2161707.8810705496</v>
      </c>
      <c r="D38" s="16">
        <v>2056662.8376875201</v>
      </c>
      <c r="E38" s="18">
        <v>81.82188826655667</v>
      </c>
      <c r="F38" s="18">
        <v>105.1075480850882</v>
      </c>
      <c r="G38" s="18">
        <v>1.3039638643318081</v>
      </c>
      <c r="H38" s="18">
        <v>-0.28945373020068749</v>
      </c>
      <c r="I38" s="128" t="s">
        <v>87</v>
      </c>
      <c r="J38" s="77"/>
      <c r="K38" s="80"/>
      <c r="L38" s="80"/>
    </row>
    <row r="39" spans="1:12" s="83" customFormat="1" ht="15.75">
      <c r="A39" s="115"/>
      <c r="B39" s="108" t="s">
        <v>60</v>
      </c>
      <c r="C39" s="101">
        <v>37532602.727454729</v>
      </c>
      <c r="D39" s="101">
        <v>38643661.191255383</v>
      </c>
      <c r="E39" s="56" t="s">
        <v>147</v>
      </c>
      <c r="F39" s="56" t="s">
        <v>147</v>
      </c>
      <c r="G39" s="102">
        <v>22.640042218232161</v>
      </c>
      <c r="H39" s="102">
        <v>-2.4747764477691989</v>
      </c>
      <c r="I39" s="130" t="s">
        <v>88</v>
      </c>
      <c r="J39" s="84"/>
      <c r="K39" s="81"/>
      <c r="L39" s="81"/>
    </row>
    <row r="40" spans="1:12" s="83" customFormat="1" ht="15.75">
      <c r="A40" s="115"/>
      <c r="B40" s="103" t="s">
        <v>61</v>
      </c>
      <c r="C40" s="104">
        <v>35695079.746913232</v>
      </c>
      <c r="D40" s="104">
        <v>35250106.465988822</v>
      </c>
      <c r="E40" s="105">
        <v>98.556226912515314</v>
      </c>
      <c r="F40" s="105">
        <v>101.26233173608637</v>
      </c>
      <c r="G40" s="105">
        <v>21.531629935755408</v>
      </c>
      <c r="H40" s="105">
        <v>-0.32712375714214209</v>
      </c>
      <c r="I40" s="128" t="s">
        <v>62</v>
      </c>
      <c r="J40" s="77"/>
      <c r="K40" s="80"/>
      <c r="L40" s="80"/>
    </row>
    <row r="41" spans="1:12" s="83" customFormat="1" ht="15.75">
      <c r="A41" s="115"/>
      <c r="B41" s="109" t="s">
        <v>118</v>
      </c>
      <c r="C41" s="104">
        <v>19306596.593865804</v>
      </c>
      <c r="D41" s="104">
        <v>19101819.698785424</v>
      </c>
      <c r="E41" s="105">
        <v>92.945913421994206</v>
      </c>
      <c r="F41" s="105">
        <v>101.07202820626246</v>
      </c>
      <c r="G41" s="105">
        <v>11.645932608232448</v>
      </c>
      <c r="H41" s="105">
        <v>-0.91837913141546801</v>
      </c>
      <c r="I41" s="131" t="s">
        <v>119</v>
      </c>
      <c r="J41" s="77"/>
      <c r="K41" s="80"/>
      <c r="L41" s="80"/>
    </row>
    <row r="42" spans="1:12" s="83" customFormat="1" ht="15.75">
      <c r="A42" s="115"/>
      <c r="B42" s="109" t="s">
        <v>89</v>
      </c>
      <c r="C42" s="104">
        <v>14812771.473424811</v>
      </c>
      <c r="D42" s="104">
        <v>14584436.508397892</v>
      </c>
      <c r="E42" s="105">
        <v>106.72251608354458</v>
      </c>
      <c r="F42" s="105">
        <v>101.56560704210575</v>
      </c>
      <c r="G42" s="105">
        <v>8.9352122463398711</v>
      </c>
      <c r="H42" s="105">
        <v>0.58197218424599773</v>
      </c>
      <c r="I42" s="131" t="s">
        <v>90</v>
      </c>
      <c r="J42" s="77"/>
      <c r="K42" s="80"/>
      <c r="L42" s="80"/>
    </row>
    <row r="43" spans="1:12" s="83" customFormat="1" ht="15.75">
      <c r="A43" s="115"/>
      <c r="B43" s="106" t="s">
        <v>91</v>
      </c>
      <c r="C43" s="104">
        <v>1575711.6796226131</v>
      </c>
      <c r="D43" s="104">
        <v>1563850.2588055052</v>
      </c>
      <c r="E43" s="105">
        <v>100.94591924681787</v>
      </c>
      <c r="F43" s="105">
        <v>100.75847548384638</v>
      </c>
      <c r="G43" s="105">
        <v>0.95048508118308994</v>
      </c>
      <c r="H43" s="105">
        <v>9.2831900273289102E-3</v>
      </c>
      <c r="I43" s="131" t="s">
        <v>92</v>
      </c>
      <c r="J43" s="77"/>
      <c r="K43" s="80"/>
      <c r="L43" s="80"/>
    </row>
    <row r="44" spans="1:12" s="83" customFormat="1" ht="15.75">
      <c r="A44" s="115"/>
      <c r="B44" s="103" t="s">
        <v>120</v>
      </c>
      <c r="C44" s="104">
        <v>1837522.980541497</v>
      </c>
      <c r="D44" s="104">
        <v>3393554.7252665604</v>
      </c>
      <c r="E44" s="56" t="s">
        <v>147</v>
      </c>
      <c r="F44" s="56" t="s">
        <v>147</v>
      </c>
      <c r="G44" s="105">
        <v>1.1084122824767526</v>
      </c>
      <c r="H44" s="105">
        <v>-2.1476526906270572</v>
      </c>
      <c r="I44" s="128" t="s">
        <v>121</v>
      </c>
      <c r="J44" s="77"/>
      <c r="K44" s="80"/>
      <c r="L44" s="80"/>
    </row>
    <row r="45" spans="1:12" s="83" customFormat="1" ht="15.75">
      <c r="A45" s="115"/>
      <c r="B45" s="110" t="s">
        <v>63</v>
      </c>
      <c r="C45" s="101">
        <f>+C46-C49</f>
        <v>-50948916.798256904</v>
      </c>
      <c r="D45" s="101">
        <f>+D46-D49</f>
        <v>-48377305.779110767</v>
      </c>
      <c r="E45" s="56" t="s">
        <v>147</v>
      </c>
      <c r="F45" s="56" t="s">
        <v>147</v>
      </c>
      <c r="G45" s="102">
        <v>-30.732897360245449</v>
      </c>
      <c r="H45" s="102">
        <v>1.884847098389657</v>
      </c>
      <c r="I45" s="130" t="s">
        <v>64</v>
      </c>
      <c r="J45" s="84"/>
      <c r="K45" s="81"/>
      <c r="L45" s="81"/>
    </row>
    <row r="46" spans="1:12" s="83" customFormat="1" ht="15.75">
      <c r="A46" s="115"/>
      <c r="B46" s="103" t="s">
        <v>65</v>
      </c>
      <c r="C46" s="104">
        <v>58149702.491198376</v>
      </c>
      <c r="D46" s="104">
        <v>55937783.459142856</v>
      </c>
      <c r="E46" s="105">
        <v>112.16833691304579</v>
      </c>
      <c r="F46" s="105">
        <v>103.95424862279556</v>
      </c>
      <c r="G46" s="105">
        <v>35.076483475934268</v>
      </c>
      <c r="H46" s="105">
        <v>3.8441734747326604</v>
      </c>
      <c r="I46" s="128" t="s">
        <v>66</v>
      </c>
      <c r="J46" s="77"/>
      <c r="K46" s="80"/>
      <c r="L46" s="80"/>
    </row>
    <row r="47" spans="1:12" s="83" customFormat="1" ht="15.75">
      <c r="A47" s="115"/>
      <c r="B47" s="109" t="s">
        <v>93</v>
      </c>
      <c r="C47" s="104">
        <v>28217535.929828562</v>
      </c>
      <c r="D47" s="104">
        <v>27426276.672498785</v>
      </c>
      <c r="E47" s="105">
        <v>116.63023778721909</v>
      </c>
      <c r="F47" s="105">
        <v>102.88504074679301</v>
      </c>
      <c r="G47" s="105">
        <v>17.021100545166611</v>
      </c>
      <c r="H47" s="105">
        <v>2.4773703184741773</v>
      </c>
      <c r="I47" s="131" t="s">
        <v>94</v>
      </c>
      <c r="J47" s="77"/>
      <c r="K47" s="80"/>
      <c r="L47" s="80"/>
    </row>
    <row r="48" spans="1:12" s="83" customFormat="1" ht="15.75">
      <c r="A48" s="115"/>
      <c r="B48" s="109" t="s">
        <v>95</v>
      </c>
      <c r="C48" s="104">
        <v>29932166.561369814</v>
      </c>
      <c r="D48" s="104">
        <v>28511506.786644071</v>
      </c>
      <c r="E48" s="105">
        <v>108.18698596425864</v>
      </c>
      <c r="F48" s="105">
        <v>104.98275936574224</v>
      </c>
      <c r="G48" s="105">
        <v>18.055382930767657</v>
      </c>
      <c r="H48" s="105">
        <v>1.3668031562584826</v>
      </c>
      <c r="I48" s="131" t="s">
        <v>96</v>
      </c>
      <c r="J48" s="77"/>
      <c r="K48" s="80"/>
      <c r="L48" s="80"/>
    </row>
    <row r="49" spans="1:17" s="83" customFormat="1" ht="15.75">
      <c r="A49" s="115"/>
      <c r="B49" s="103" t="s">
        <v>67</v>
      </c>
      <c r="C49" s="104">
        <v>109098619.28945528</v>
      </c>
      <c r="D49" s="104">
        <v>104315089.23825362</v>
      </c>
      <c r="E49" s="105">
        <v>103.05558525633319</v>
      </c>
      <c r="F49" s="105">
        <v>104.58565494803554</v>
      </c>
      <c r="G49" s="105">
        <v>65.809380836179699</v>
      </c>
      <c r="H49" s="105">
        <v>1.9593263763430031</v>
      </c>
      <c r="I49" s="128" t="s">
        <v>68</v>
      </c>
      <c r="J49" s="77"/>
      <c r="K49" s="80"/>
      <c r="L49" s="80"/>
    </row>
    <row r="50" spans="1:17" s="83" customFormat="1" ht="15.75">
      <c r="A50" s="115"/>
      <c r="B50" s="109" t="s">
        <v>93</v>
      </c>
      <c r="C50" s="104">
        <v>91086972.464584231</v>
      </c>
      <c r="D50" s="104">
        <v>87002316.625913233</v>
      </c>
      <c r="E50" s="105">
        <v>103.80541279953705</v>
      </c>
      <c r="F50" s="105">
        <v>104.69488169635059</v>
      </c>
      <c r="G50" s="105">
        <v>54.944574910086075</v>
      </c>
      <c r="H50" s="105">
        <v>2.0204558775404986</v>
      </c>
      <c r="I50" s="131" t="s">
        <v>94</v>
      </c>
      <c r="J50" s="77"/>
      <c r="K50" s="80"/>
      <c r="L50" s="80"/>
    </row>
    <row r="51" spans="1:17" s="83" customFormat="1" ht="16.5" thickBot="1">
      <c r="A51" s="116"/>
      <c r="B51" s="111" t="s">
        <v>95</v>
      </c>
      <c r="C51" s="112">
        <v>18011646.824871048</v>
      </c>
      <c r="D51" s="112">
        <v>17312772.612340391</v>
      </c>
      <c r="E51" s="113">
        <v>99.445714496725429</v>
      </c>
      <c r="F51" s="113">
        <v>104.03675499112433</v>
      </c>
      <c r="G51" s="113">
        <v>10.864805926093624</v>
      </c>
      <c r="H51" s="113">
        <v>-6.1129501197491054E-2</v>
      </c>
      <c r="I51" s="132" t="s">
        <v>96</v>
      </c>
      <c r="J51" s="77"/>
      <c r="K51" s="80"/>
      <c r="L51" s="80"/>
    </row>
    <row r="52" spans="1:17" s="83" customFormat="1">
      <c r="B52" s="85"/>
      <c r="C52" s="86"/>
      <c r="D52" s="86"/>
      <c r="E52" s="87"/>
      <c r="F52" s="87"/>
      <c r="G52" s="87"/>
      <c r="H52" s="87"/>
      <c r="I52" s="88"/>
      <c r="J52" s="80"/>
      <c r="K52" s="80"/>
      <c r="L52" s="80"/>
    </row>
    <row r="53" spans="1:17" s="133" customFormat="1" ht="12">
      <c r="A53" s="133" t="s">
        <v>108</v>
      </c>
      <c r="C53" s="134"/>
      <c r="G53" s="134"/>
      <c r="H53" s="135"/>
      <c r="L53" s="134"/>
      <c r="M53" s="136"/>
      <c r="N53" s="136"/>
      <c r="O53" s="136"/>
      <c r="P53" s="136"/>
      <c r="Q53" s="136"/>
    </row>
    <row r="54" spans="1:17" s="133" customFormat="1" ht="12">
      <c r="A54" s="137" t="s">
        <v>109</v>
      </c>
      <c r="C54" s="134"/>
      <c r="G54" s="134"/>
      <c r="H54" s="135"/>
      <c r="L54" s="134"/>
      <c r="M54" s="138"/>
      <c r="N54" s="138"/>
      <c r="O54" s="138"/>
      <c r="P54" s="138"/>
      <c r="Q54" s="136"/>
    </row>
    <row r="55" spans="1:17" s="133" customFormat="1" ht="12">
      <c r="A55" s="133" t="s">
        <v>110</v>
      </c>
      <c r="B55" s="133" t="s">
        <v>111</v>
      </c>
      <c r="C55" s="134"/>
      <c r="G55" s="134"/>
      <c r="H55" s="134"/>
      <c r="L55" s="134"/>
      <c r="M55" s="138"/>
      <c r="N55" s="138"/>
      <c r="O55" s="138"/>
      <c r="P55" s="138"/>
      <c r="Q55" s="136"/>
    </row>
    <row r="56" spans="1:17" s="133" customFormat="1" ht="12">
      <c r="B56" s="133" t="s">
        <v>112</v>
      </c>
      <c r="C56" s="134"/>
      <c r="G56" s="134"/>
      <c r="H56" s="134"/>
      <c r="L56" s="134"/>
      <c r="M56" s="138"/>
      <c r="N56" s="138"/>
      <c r="O56" s="138"/>
      <c r="P56" s="138"/>
      <c r="Q56" s="136"/>
    </row>
    <row r="57" spans="1:17" s="133" customFormat="1" ht="12">
      <c r="C57" s="134"/>
      <c r="G57" s="134"/>
      <c r="H57" s="134"/>
      <c r="L57" s="134"/>
      <c r="M57" s="138"/>
      <c r="N57" s="138"/>
      <c r="O57" s="138"/>
      <c r="P57" s="138"/>
      <c r="Q57" s="136"/>
    </row>
    <row r="58" spans="1:17" s="133" customFormat="1" ht="12">
      <c r="B58" s="133" t="s">
        <v>113</v>
      </c>
      <c r="C58" s="134"/>
      <c r="G58" s="134"/>
      <c r="H58" s="134"/>
      <c r="L58" s="134"/>
      <c r="M58" s="136"/>
      <c r="N58" s="136"/>
      <c r="O58" s="136"/>
      <c r="P58" s="136"/>
      <c r="Q58" s="136"/>
    </row>
    <row r="59" spans="1:17" s="133" customFormat="1" ht="12">
      <c r="B59" s="133" t="s">
        <v>69</v>
      </c>
      <c r="C59" s="134"/>
      <c r="G59" s="134"/>
      <c r="H59" s="134"/>
      <c r="L59" s="134"/>
      <c r="M59" s="136"/>
      <c r="N59" s="136"/>
      <c r="O59" s="136"/>
      <c r="P59" s="136"/>
      <c r="Q59" s="136"/>
    </row>
    <row r="61" spans="1:17">
      <c r="D61" s="77"/>
      <c r="G61" s="77"/>
    </row>
  </sheetData>
  <mergeCells count="8">
    <mergeCell ref="A6:I6"/>
    <mergeCell ref="A30:I30"/>
    <mergeCell ref="A1:I1"/>
    <mergeCell ref="A2:I2"/>
    <mergeCell ref="A4:A5"/>
    <mergeCell ref="B4:B5"/>
    <mergeCell ref="C4:H4"/>
    <mergeCell ref="I4:I5"/>
  </mergeCells>
  <printOptions horizontalCentered="1" verticalCentered="1"/>
  <pageMargins left="0" right="0" top="0.33" bottom="0.51" header="0.28000000000000003" footer="0.3"/>
  <pageSetup paperSize="9" scale="56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A1.PIB</vt:lpstr>
      <vt:lpstr>A2.VP</vt:lpstr>
      <vt:lpstr>A3.CI</vt:lpstr>
      <vt:lpstr>A4.PIB-Isem-26</vt:lpstr>
      <vt:lpstr>A1.PIB!Print_Area</vt:lpstr>
      <vt:lpstr>A2.VP!Print_Area</vt:lpstr>
      <vt:lpstr>A3.CI!Print_Area</vt:lpstr>
      <vt:lpstr>'A4.PIB-Isem-26'!Print_Area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Ludmila Habasescu</dc:creator>
  <cp:lastModifiedBy>Victor Cociug</cp:lastModifiedBy>
  <cp:lastPrinted>2024-06-14T13:07:09Z</cp:lastPrinted>
  <dcterms:created xsi:type="dcterms:W3CDTF">2015-06-11T13:08:02Z</dcterms:created>
  <dcterms:modified xsi:type="dcterms:W3CDTF">2026-09-14T06:45:32Z</dcterms:modified>
</cp:coreProperties>
</file>